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/>
  <workbookPr/>
  <mc:AlternateContent xmlns:mc="http://schemas.openxmlformats.org/markup-compatibility/2006">
    <mc:Choice Requires="x15">
      <x15ac:absPath xmlns:x15ac="http://schemas.microsoft.com/office/spreadsheetml/2010/11/ac" url="C:\Users\USER\Desktop\VBA EXCELL\Coursera\PART I\week5\"/>
    </mc:Choice>
  </mc:AlternateContent>
  <xr:revisionPtr revIDLastSave="0" documentId="13_ncr:1_{AA22684E-7292-4275-A692-0167CFE6FBC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8" i="1" l="1"/>
  <c r="D38" i="1"/>
  <c r="H39" i="1"/>
  <c r="C40" i="1"/>
  <c r="C38" i="1"/>
  <c r="D42" i="1"/>
  <c r="B39" i="1"/>
  <c r="E37" i="1"/>
  <c r="C20" i="1"/>
  <c r="C23" i="1" s="1"/>
  <c r="C25" i="1" s="1"/>
  <c r="C13" i="1"/>
  <c r="B5" i="1"/>
  <c r="C39" i="1" l="1"/>
  <c r="D39" i="1" s="1"/>
  <c r="E39" i="1" s="1"/>
  <c r="B40" i="1"/>
  <c r="B41" i="1" l="1"/>
  <c r="D40" i="1"/>
  <c r="E40" i="1" s="1"/>
  <c r="B42" i="1" l="1"/>
  <c r="C41" i="1"/>
  <c r="D41" i="1" s="1"/>
  <c r="E41" i="1" s="1"/>
  <c r="B43" i="1" l="1"/>
  <c r="C42" i="1"/>
  <c r="E42" i="1" s="1"/>
  <c r="B44" i="1" l="1"/>
  <c r="C43" i="1"/>
  <c r="D43" i="1" s="1"/>
  <c r="E43" i="1" s="1"/>
  <c r="B45" i="1" l="1"/>
  <c r="C44" i="1"/>
  <c r="D44" i="1" s="1"/>
  <c r="E44" i="1" s="1"/>
  <c r="B46" i="1" l="1"/>
  <c r="C45" i="1"/>
  <c r="D45" i="1" s="1"/>
  <c r="E45" i="1" s="1"/>
  <c r="B47" i="1" l="1"/>
  <c r="C46" i="1"/>
  <c r="D46" i="1" s="1"/>
  <c r="E46" i="1" s="1"/>
  <c r="C47" i="1" l="1"/>
  <c r="D47" i="1" s="1"/>
  <c r="E47" i="1" s="1"/>
</calcChain>
</file>

<file path=xl/sharedStrings.xml><?xml version="1.0" encoding="utf-8"?>
<sst xmlns="http://schemas.openxmlformats.org/spreadsheetml/2006/main" count="25" uniqueCount="24">
  <si>
    <t>Ppal</t>
  </si>
  <si>
    <t>interes</t>
  </si>
  <si>
    <t>cuotas</t>
  </si>
  <si>
    <t>cuota mensual</t>
  </si>
  <si>
    <t>lo  que puedo pagar</t>
  </si>
  <si>
    <t>pago mensual</t>
  </si>
  <si>
    <t>n pagos</t>
  </si>
  <si>
    <t>importe</t>
  </si>
  <si>
    <t>concepto</t>
  </si>
  <si>
    <t>ventas</t>
  </si>
  <si>
    <t>costos de ventas</t>
  </si>
  <si>
    <t>utilidad bruta</t>
  </si>
  <si>
    <t>gastos de venta</t>
  </si>
  <si>
    <t>gastos de administracion</t>
  </si>
  <si>
    <t>utilidad</t>
  </si>
  <si>
    <t>impuestos</t>
  </si>
  <si>
    <t>utilidad neta</t>
  </si>
  <si>
    <t>TASA INTERES</t>
  </si>
  <si>
    <t>E.M</t>
  </si>
  <si>
    <t>Prestamo</t>
  </si>
  <si>
    <t>pago</t>
  </si>
  <si>
    <t>intereses</t>
  </si>
  <si>
    <t>amortizacion</t>
  </si>
  <si>
    <t>saldo deuda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</si>
</sst>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2" formatCode="_-&quot;$&quot;* #,##0_-;\-&quot;$&quot;* #,##0_-;_-&quot;$&quot;* &quot;-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8">
    <xf numFmtId="0" fontId="0" fillId="0" borderId="0" xfId="0"/>
    <xf numFmtId="8" fontId="0" fillId="0" borderId="0" xfId="0" applyNumberFormat="1"/>
    <xf numFmtId="42" fontId="0" fillId="0" borderId="0" xfId="1" applyFont="1"/>
    <xf numFmtId="0" fontId="0" fillId="0" borderId="0" xfId="1" applyNumberFormat="1" applyFont="1"/>
    <xf numFmtId="0" fontId="2" fillId="0" borderId="0" xfId="0" applyFont="1"/>
    <xf numFmtId="0" fontId="0" fillId="0" borderId="0" xfId="0" applyFont="1"/>
    <xf numFmtId="10" fontId="0" fillId="0" borderId="0" xfId="0" applyNumberFormat="1"/>
    <xf numFmtId="1" fontId="0" fillId="0" borderId="0" xfId="0" applyNumberFormat="1"/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H47"/>
  <sheetViews>
    <sheetView tabSelected="1" topLeftCell="A31" workbookViewId="0">
      <selection activeCell="C41" sqref="C41"/>
    </sheetView>
  </sheetViews>
  <sheetFormatPr baseColWidth="10" defaultColWidth="9.140625" defaultRowHeight="15" x14ac:dyDescent="0.25"/>
  <cols>
    <col min="1" max="1" width="23.140625" bestFit="1" customWidth="1"/>
    <col min="2" max="2" width="9.7109375" bestFit="1" customWidth="1"/>
    <col min="4" max="4" width="12.42578125" bestFit="1" customWidth="1"/>
    <col min="5" max="5" width="11.7109375" bestFit="1" customWidth="1"/>
    <col min="8" max="8" width="11.7109375" bestFit="1" customWidth="1"/>
  </cols>
  <sheetData>
    <row r="2" spans="1:3" x14ac:dyDescent="0.25">
      <c r="A2" t="s">
        <v>0</v>
      </c>
      <c r="B2" s="2">
        <v>250000</v>
      </c>
    </row>
    <row r="3" spans="1:3" x14ac:dyDescent="0.25">
      <c r="A3" t="s">
        <v>1</v>
      </c>
      <c r="B3" s="3">
        <v>0.11</v>
      </c>
    </row>
    <row r="4" spans="1:3" x14ac:dyDescent="0.25">
      <c r="A4" t="s">
        <v>2</v>
      </c>
      <c r="B4" s="3">
        <v>22.693440635825613</v>
      </c>
    </row>
    <row r="5" spans="1:3" x14ac:dyDescent="0.25">
      <c r="A5" t="s">
        <v>3</v>
      </c>
      <c r="B5" s="2">
        <f>PMT(B3/12,B4*12,B2)</f>
        <v>-2500.0000032843295</v>
      </c>
    </row>
    <row r="6" spans="1:3" x14ac:dyDescent="0.25">
      <c r="B6" s="2"/>
    </row>
    <row r="7" spans="1:3" x14ac:dyDescent="0.25">
      <c r="B7" s="2"/>
    </row>
    <row r="8" spans="1:3" x14ac:dyDescent="0.25">
      <c r="A8" t="s">
        <v>4</v>
      </c>
      <c r="B8" s="2">
        <v>2500</v>
      </c>
    </row>
    <row r="11" spans="1:3" x14ac:dyDescent="0.25">
      <c r="A11" t="s">
        <v>5</v>
      </c>
      <c r="B11">
        <v>7000</v>
      </c>
    </row>
    <row r="12" spans="1:3" x14ac:dyDescent="0.25">
      <c r="A12" t="s">
        <v>6</v>
      </c>
      <c r="B12">
        <v>35</v>
      </c>
    </row>
    <row r="13" spans="1:3" x14ac:dyDescent="0.25">
      <c r="A13" t="s">
        <v>7</v>
      </c>
      <c r="B13">
        <v>245000</v>
      </c>
      <c r="C13">
        <f>B11*B12</f>
        <v>245000</v>
      </c>
    </row>
    <row r="16" spans="1:3" x14ac:dyDescent="0.25">
      <c r="A16" t="s">
        <v>8</v>
      </c>
      <c r="C16">
        <v>2017</v>
      </c>
    </row>
    <row r="18" spans="1:3" x14ac:dyDescent="0.25">
      <c r="A18" t="s">
        <v>9</v>
      </c>
      <c r="C18">
        <v>281400</v>
      </c>
    </row>
    <row r="19" spans="1:3" x14ac:dyDescent="0.25">
      <c r="A19" t="s">
        <v>10</v>
      </c>
      <c r="C19">
        <v>55000</v>
      </c>
    </row>
    <row r="20" spans="1:3" x14ac:dyDescent="0.25">
      <c r="A20" s="4" t="s">
        <v>11</v>
      </c>
      <c r="C20">
        <f>C18-C19</f>
        <v>226400</v>
      </c>
    </row>
    <row r="21" spans="1:3" x14ac:dyDescent="0.25">
      <c r="A21" s="5" t="s">
        <v>12</v>
      </c>
      <c r="C21">
        <v>35000</v>
      </c>
    </row>
    <row r="22" spans="1:3" x14ac:dyDescent="0.25">
      <c r="A22" s="5" t="s">
        <v>13</v>
      </c>
      <c r="C22">
        <v>12000</v>
      </c>
    </row>
    <row r="23" spans="1:3" x14ac:dyDescent="0.25">
      <c r="A23" s="4" t="s">
        <v>14</v>
      </c>
      <c r="C23">
        <f>C20-C21-C22</f>
        <v>179400</v>
      </c>
    </row>
    <row r="24" spans="1:3" x14ac:dyDescent="0.25">
      <c r="A24" s="5" t="s">
        <v>15</v>
      </c>
      <c r="C24">
        <v>29400</v>
      </c>
    </row>
    <row r="25" spans="1:3" x14ac:dyDescent="0.25">
      <c r="A25" s="4" t="s">
        <v>16</v>
      </c>
      <c r="C25">
        <f>C23-C24</f>
        <v>150000</v>
      </c>
    </row>
    <row r="26" spans="1:3" x14ac:dyDescent="0.25">
      <c r="A26" s="4"/>
    </row>
    <row r="33" spans="1:8" x14ac:dyDescent="0.25">
      <c r="A33" t="s">
        <v>17</v>
      </c>
      <c r="B33" s="6">
        <v>1.4999999999999999E-2</v>
      </c>
      <c r="C33" t="s">
        <v>18</v>
      </c>
    </row>
    <row r="34" spans="1:8" x14ac:dyDescent="0.25">
      <c r="A34" t="s">
        <v>19</v>
      </c>
      <c r="B34" s="7">
        <v>2000000</v>
      </c>
    </row>
    <row r="36" spans="1:8" x14ac:dyDescent="0.25">
      <c r="A36" t="s">
        <v>2</v>
      </c>
      <c r="B36" t="s">
        <v>20</v>
      </c>
      <c r="C36" t="s">
        <v>21</v>
      </c>
      <c r="D36" t="s">
        <v>22</v>
      </c>
      <c r="E36" t="s">
        <v>23</v>
      </c>
    </row>
    <row r="37" spans="1:8" x14ac:dyDescent="0.25">
      <c r="A37">
        <v>0</v>
      </c>
      <c r="B37">
        <v>0</v>
      </c>
      <c r="C37">
        <v>0</v>
      </c>
      <c r="D37">
        <v>0</v>
      </c>
      <c r="E37" s="7">
        <f>B34</f>
        <v>2000000</v>
      </c>
    </row>
    <row r="38" spans="1:8" x14ac:dyDescent="0.25">
      <c r="A38">
        <v>1</v>
      </c>
      <c r="B38">
        <v>203045.68527918783</v>
      </c>
      <c r="C38">
        <f>B38*$B$33</f>
        <v>3045.6852791878173</v>
      </c>
      <c r="D38">
        <f>B38-C38</f>
        <v>200000.00000000003</v>
      </c>
      <c r="E38" s="7">
        <f>E37-D38</f>
        <v>1800000</v>
      </c>
    </row>
    <row r="39" spans="1:8" x14ac:dyDescent="0.25">
      <c r="A39">
        <v>2</v>
      </c>
      <c r="B39">
        <f>B38</f>
        <v>203045.68527918783</v>
      </c>
      <c r="C39">
        <f t="shared" ref="C39:C47" si="0">B39*$B$33</f>
        <v>3045.6852791878173</v>
      </c>
      <c r="D39">
        <f t="shared" ref="D39:D47" si="1">B39-C39</f>
        <v>200000.00000000003</v>
      </c>
      <c r="E39" s="7">
        <f t="shared" ref="E39:E47" si="2">E38-D39</f>
        <v>1600000</v>
      </c>
      <c r="H39" s="1">
        <f>PMT(B33,10,B34)</f>
        <v>-216868.35573007833</v>
      </c>
    </row>
    <row r="40" spans="1:8" x14ac:dyDescent="0.25">
      <c r="A40">
        <v>3</v>
      </c>
      <c r="B40">
        <f t="shared" ref="B40:B47" si="3">B39</f>
        <v>203045.68527918783</v>
      </c>
      <c r="C40">
        <f>B40*$B$33</f>
        <v>3045.6852791878173</v>
      </c>
      <c r="D40">
        <f t="shared" si="1"/>
        <v>200000.00000000003</v>
      </c>
      <c r="E40" s="7">
        <f t="shared" si="2"/>
        <v>1400000</v>
      </c>
    </row>
    <row r="41" spans="1:8" x14ac:dyDescent="0.25">
      <c r="A41">
        <v>4</v>
      </c>
      <c r="B41">
        <f t="shared" si="3"/>
        <v>203045.68527918783</v>
      </c>
      <c r="C41">
        <f t="shared" si="0"/>
        <v>3045.6852791878173</v>
      </c>
      <c r="D41">
        <f t="shared" si="1"/>
        <v>200000.00000000003</v>
      </c>
      <c r="E41" s="7">
        <f t="shared" si="2"/>
        <v>1200000</v>
      </c>
    </row>
    <row r="42" spans="1:8" x14ac:dyDescent="0.25">
      <c r="A42">
        <v>5</v>
      </c>
      <c r="B42">
        <f t="shared" si="3"/>
        <v>203045.68527918783</v>
      </c>
      <c r="C42">
        <f t="shared" si="0"/>
        <v>3045.6852791878173</v>
      </c>
      <c r="D42">
        <f>B42-C42</f>
        <v>200000.00000000003</v>
      </c>
      <c r="E42" s="7">
        <f t="shared" si="2"/>
        <v>1000000</v>
      </c>
    </row>
    <row r="43" spans="1:8" x14ac:dyDescent="0.25">
      <c r="A43">
        <v>6</v>
      </c>
      <c r="B43">
        <f t="shared" si="3"/>
        <v>203045.68527918783</v>
      </c>
      <c r="C43">
        <f t="shared" si="0"/>
        <v>3045.6852791878173</v>
      </c>
      <c r="D43">
        <f t="shared" si="1"/>
        <v>200000.00000000003</v>
      </c>
      <c r="E43" s="7">
        <f t="shared" si="2"/>
        <v>800000</v>
      </c>
    </row>
    <row r="44" spans="1:8" x14ac:dyDescent="0.25">
      <c r="A44">
        <v>7</v>
      </c>
      <c r="B44">
        <f t="shared" si="3"/>
        <v>203045.68527918783</v>
      </c>
      <c r="C44">
        <f t="shared" si="0"/>
        <v>3045.6852791878173</v>
      </c>
      <c r="D44">
        <f t="shared" si="1"/>
        <v>200000.00000000003</v>
      </c>
      <c r="E44" s="7">
        <f t="shared" si="2"/>
        <v>600000</v>
      </c>
    </row>
    <row r="45" spans="1:8" x14ac:dyDescent="0.25">
      <c r="A45">
        <v>8</v>
      </c>
      <c r="B45">
        <f t="shared" si="3"/>
        <v>203045.68527918783</v>
      </c>
      <c r="C45">
        <f t="shared" si="0"/>
        <v>3045.6852791878173</v>
      </c>
      <c r="D45">
        <f t="shared" si="1"/>
        <v>200000.00000000003</v>
      </c>
      <c r="E45" s="7">
        <f t="shared" si="2"/>
        <v>400000</v>
      </c>
    </row>
    <row r="46" spans="1:8" x14ac:dyDescent="0.25">
      <c r="A46">
        <v>9</v>
      </c>
      <c r="B46">
        <f t="shared" si="3"/>
        <v>203045.68527918783</v>
      </c>
      <c r="C46">
        <f t="shared" si="0"/>
        <v>3045.6852791878173</v>
      </c>
      <c r="D46">
        <f t="shared" si="1"/>
        <v>200000.00000000003</v>
      </c>
      <c r="E46" s="7">
        <f t="shared" si="2"/>
        <v>199999.99999999997</v>
      </c>
    </row>
    <row r="47" spans="1:8" x14ac:dyDescent="0.25">
      <c r="A47">
        <v>10</v>
      </c>
      <c r="B47">
        <f t="shared" si="3"/>
        <v>203045.68527918783</v>
      </c>
      <c r="C47">
        <f t="shared" si="0"/>
        <v>3045.6852791878173</v>
      </c>
      <c r="D47">
        <f t="shared" si="1"/>
        <v>200000.00000000003</v>
      </c>
      <c r="E47" s="7">
        <f t="shared" si="2"/>
        <v>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Arango</dc:creator>
  <cp:lastModifiedBy>Pedro Arango</cp:lastModifiedBy>
  <cp:lastPrinted>2020-12-17T12:18:39Z</cp:lastPrinted>
  <dcterms:created xsi:type="dcterms:W3CDTF">2015-06-05T18:19:34Z</dcterms:created>
  <dcterms:modified xsi:type="dcterms:W3CDTF">2020-12-17T13:09:46Z</dcterms:modified>
</cp:coreProperties>
</file>