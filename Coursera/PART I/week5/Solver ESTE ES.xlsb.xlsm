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VBA EXCELL\Coursera\PART I\week5\"/>
    </mc:Choice>
  </mc:AlternateContent>
  <xr:revisionPtr revIDLastSave="0" documentId="13_ncr:1_{05D36433-DC3C-4AAE-BA2C-A8D30A0775D1}" xr6:coauthVersionLast="45" xr6:coauthVersionMax="45" xr10:uidLastSave="{00000000-0000-0000-0000-000000000000}"/>
  <bookViews>
    <workbookView xWindow="-120" yWindow="-120" windowWidth="20730" windowHeight="11160" firstSheet="3" activeTab="3" xr2:uid="{00000000-000D-0000-FFFF-FFFF00000000}"/>
  </bookViews>
  <sheets>
    <sheet name="Ejercicio 1" sheetId="2" r:id="rId1"/>
    <sheet name="Ejercicio 2" sheetId="3" r:id="rId2"/>
    <sheet name="Informe de sensibilidad 1" sheetId="5" r:id="rId3"/>
    <sheet name="Hoja1" sheetId="4" r:id="rId4"/>
  </sheets>
  <functionGroups builtInGroupCount="19"/>
  <externalReferences>
    <externalReference r:id="rId5"/>
    <externalReference r:id="rId6"/>
  </externalReferences>
  <definedNames>
    <definedName name="BudgetTab">#REF!</definedName>
    <definedName name="C_">'[1]Diseño de ingeniería'!$G$10</definedName>
    <definedName name="clientes">'[2]buscar objetivo1'!#REF!</definedName>
    <definedName name="empleados">'[2]buscar objetivo1'!#REF!</definedName>
    <definedName name="formas">'[2]buscar objetivo1'!#REF!</definedName>
    <definedName name="GR">Hoja1!$B$150</definedName>
    <definedName name="L_">'[1]Diseño de ingeniería'!$G$9</definedName>
    <definedName name="locales">'[2]buscar objetivo1'!#REF!</definedName>
    <definedName name="lstAlumnos">#REF!</definedName>
    <definedName name="lstBase">#REF!</definedName>
    <definedName name="lstCat">#REF!</definedName>
    <definedName name="lstCtg">#REF!</definedName>
    <definedName name="lstGrado">#REF!</definedName>
    <definedName name="lstNiv">#REF!</definedName>
    <definedName name="lstNivel">#REF!</definedName>
    <definedName name="lstProc">#REF!</definedName>
    <definedName name="lstProcendencia">#REF!</definedName>
    <definedName name="lstSeccion">#REF!</definedName>
    <definedName name="q0">'[1]Diseño de ingeniería'!$G$6</definedName>
    <definedName name="R_">'[1]Diseño de ingeniería'!$G$12</definedName>
    <definedName name="solver_adj" localSheetId="0" hidden="1">'Ejercicio 1'!$D$7:$D$13</definedName>
    <definedName name="solver_adj" localSheetId="1" hidden="1">'Ejercicio 2'!$C$8:$G$10</definedName>
    <definedName name="solver_adj" localSheetId="3" hidden="1">Hoja1!$D$170</definedName>
    <definedName name="solver_cvg" localSheetId="0" hidden="1">0.001</definedName>
    <definedName name="solver_cvg" localSheetId="1" hidden="1">0.001</definedName>
    <definedName name="solver_cvg" localSheetId="3" hidden="1">0.0001</definedName>
    <definedName name="solver_drv" localSheetId="0" hidden="1">1</definedName>
    <definedName name="solver_drv" localSheetId="1" hidden="1">1</definedName>
    <definedName name="solver_drv" localSheetId="3" hidden="1">1</definedName>
    <definedName name="solver_eng" localSheetId="0" hidden="1">1</definedName>
    <definedName name="solver_eng" localSheetId="1" hidden="1">2</definedName>
    <definedName name="solver_eng" localSheetId="3" hidden="1">1</definedName>
    <definedName name="solver_est" localSheetId="0" hidden="1">1</definedName>
    <definedName name="solver_est" localSheetId="1" hidden="1">1</definedName>
    <definedName name="solver_est" localSheetId="3" hidden="1">1</definedName>
    <definedName name="solver_itr" localSheetId="0" hidden="1">100</definedName>
    <definedName name="solver_itr" localSheetId="1" hidden="1">100</definedName>
    <definedName name="solver_itr" localSheetId="3" hidden="1">2147483647</definedName>
    <definedName name="solver_lhs1" localSheetId="0" hidden="1">'Ejercicio 1'!$D$7:$D$13</definedName>
    <definedName name="solver_lhs1" localSheetId="1" hidden="1">'Ejercicio 2'!$B$8:$B$10</definedName>
    <definedName name="solver_lhs1" localSheetId="3" hidden="1">Hoja1!$C$74</definedName>
    <definedName name="solver_lhs2" localSheetId="0" hidden="1">'Ejercicio 1'!$D$7:$D$13</definedName>
    <definedName name="solver_lhs2" localSheetId="1" hidden="1">'Ejercicio 2'!$C$12:$G$12</definedName>
    <definedName name="solver_lhs2" localSheetId="3" hidden="1">Hoja1!$C$74</definedName>
    <definedName name="solver_lhs3" localSheetId="0" hidden="1">'Ejercicio 1'!$F$15:$L$15</definedName>
    <definedName name="solver_lhs3" localSheetId="1" hidden="1">'Ejercicio 2'!$C$8:$G$10</definedName>
    <definedName name="solver_lhs4" localSheetId="1" hidden="1">'Ejercicio 2'!$C$8:$G$10</definedName>
    <definedName name="solver_lin" localSheetId="0" hidden="1">1</definedName>
    <definedName name="solver_lin" localSheetId="1" hidden="1">1</definedName>
    <definedName name="solver_mip" localSheetId="0" hidden="1">2147483647</definedName>
    <definedName name="solver_mip" localSheetId="1" hidden="1">2147483647</definedName>
    <definedName name="solver_mip" localSheetId="3" hidden="1">2147483647</definedName>
    <definedName name="solver_mni" localSheetId="0" hidden="1">30</definedName>
    <definedName name="solver_mni" localSheetId="1" hidden="1">30</definedName>
    <definedName name="solver_mni" localSheetId="3" hidden="1">30</definedName>
    <definedName name="solver_mrt" localSheetId="0" hidden="1">0.075</definedName>
    <definedName name="solver_mrt" localSheetId="1" hidden="1">0.075</definedName>
    <definedName name="solver_mrt" localSheetId="3" hidden="1">0.075</definedName>
    <definedName name="solver_msl" localSheetId="0" hidden="1">2</definedName>
    <definedName name="solver_msl" localSheetId="1" hidden="1">2</definedName>
    <definedName name="solver_msl" localSheetId="3" hidden="1">2</definedName>
    <definedName name="solver_neg" localSheetId="0" hidden="1">1</definedName>
    <definedName name="solver_neg" localSheetId="1" hidden="1">1</definedName>
    <definedName name="solver_neg" localSheetId="3" hidden="1">1</definedName>
    <definedName name="solver_nod" localSheetId="0" hidden="1">2147483647</definedName>
    <definedName name="solver_nod" localSheetId="1" hidden="1">2147483647</definedName>
    <definedName name="solver_nod" localSheetId="3" hidden="1">2147483647</definedName>
    <definedName name="solver_num" localSheetId="0" hidden="1">3</definedName>
    <definedName name="solver_num" localSheetId="1" hidden="1">4</definedName>
    <definedName name="solver_num" localSheetId="3" hidden="1">0</definedName>
    <definedName name="solver_nwt" localSheetId="0" hidden="1">1</definedName>
    <definedName name="solver_nwt" localSheetId="1" hidden="1">1</definedName>
    <definedName name="solver_nwt" localSheetId="3" hidden="1">1</definedName>
    <definedName name="solver_opt" localSheetId="0" hidden="1">'Ejercicio 1'!$D$20</definedName>
    <definedName name="solver_opt" localSheetId="1" hidden="1">'Ejercicio 2'!$B$20</definedName>
    <definedName name="solver_opt" localSheetId="3" hidden="1">Hoja1!$E$170</definedName>
    <definedName name="solver_pre" localSheetId="0" hidden="1">0.000001</definedName>
    <definedName name="solver_pre" localSheetId="1" hidden="1">0.000001</definedName>
    <definedName name="solver_pre" localSheetId="3" hidden="1">0.000001</definedName>
    <definedName name="solver_rbv" localSheetId="0" hidden="1">1</definedName>
    <definedName name="solver_rbv" localSheetId="1" hidden="1">1</definedName>
    <definedName name="solver_rbv" localSheetId="3" hidden="1">1</definedName>
    <definedName name="solver_rel1" localSheetId="0" hidden="1">4</definedName>
    <definedName name="solver_rel1" localSheetId="1" hidden="1">1</definedName>
    <definedName name="solver_rel1" localSheetId="3" hidden="1">1</definedName>
    <definedName name="solver_rel2" localSheetId="0" hidden="1">3</definedName>
    <definedName name="solver_rel2" localSheetId="1" hidden="1">3</definedName>
    <definedName name="solver_rel2" localSheetId="3" hidden="1">3</definedName>
    <definedName name="solver_rel3" localSheetId="0" hidden="1">3</definedName>
    <definedName name="solver_rel3" localSheetId="1" hidden="1">4</definedName>
    <definedName name="solver_rel4" localSheetId="1" hidden="1">3</definedName>
    <definedName name="solver_rhs1" localSheetId="0" hidden="1">entero</definedName>
    <definedName name="solver_rhs1" localSheetId="1" hidden="1">'Ejercicio 2'!$B$16:$B$18</definedName>
    <definedName name="solver_rhs1" localSheetId="3" hidden="1">10</definedName>
    <definedName name="solver_rhs2" localSheetId="0" hidden="1">0</definedName>
    <definedName name="solver_rhs2" localSheetId="1" hidden="1">'Ejercicio 2'!$C$14:$G$14</definedName>
    <definedName name="solver_rhs2" localSheetId="3" hidden="1">0</definedName>
    <definedName name="solver_rhs3" localSheetId="0" hidden="1">'Ejercicio 1'!$F$17:$L$17</definedName>
    <definedName name="solver_rhs3" localSheetId="1" hidden="1">entero</definedName>
    <definedName name="solver_rhs4" localSheetId="1" hidden="1">0</definedName>
    <definedName name="solver_rlx" localSheetId="0" hidden="1">1</definedName>
    <definedName name="solver_rlx" localSheetId="1" hidden="1">1</definedName>
    <definedName name="solver_rlx" localSheetId="3" hidden="1">2</definedName>
    <definedName name="solver_rsd" localSheetId="0" hidden="1">0</definedName>
    <definedName name="solver_rsd" localSheetId="1" hidden="1">0</definedName>
    <definedName name="solver_rsd" localSheetId="3" hidden="1">0</definedName>
    <definedName name="solver_scl" localSheetId="0" hidden="1">2</definedName>
    <definedName name="solver_scl" localSheetId="1" hidden="1">2</definedName>
    <definedName name="solver_scl" localSheetId="3" hidden="1">1</definedName>
    <definedName name="solver_sho" localSheetId="0" hidden="1">2</definedName>
    <definedName name="solver_sho" localSheetId="1" hidden="1">2</definedName>
    <definedName name="solver_sho" localSheetId="3" hidden="1">2</definedName>
    <definedName name="solver_ssz" localSheetId="0" hidden="1">100</definedName>
    <definedName name="solver_ssz" localSheetId="1" hidden="1">100</definedName>
    <definedName name="solver_ssz" localSheetId="3" hidden="1">100</definedName>
    <definedName name="solver_tim" localSheetId="0" hidden="1">100</definedName>
    <definedName name="solver_tim" localSheetId="1" hidden="1">100</definedName>
    <definedName name="solver_tim" localSheetId="3" hidden="1">2147483647</definedName>
    <definedName name="solver_tmp" localSheetId="0" hidden="1">0</definedName>
    <definedName name="solver_tol" localSheetId="0" hidden="1">0.05</definedName>
    <definedName name="solver_tol" localSheetId="1" hidden="1">0.05</definedName>
    <definedName name="solver_tol" localSheetId="3" hidden="1">0.01</definedName>
    <definedName name="solver_typ" localSheetId="0" hidden="1">2</definedName>
    <definedName name="solver_typ" localSheetId="1" hidden="1">2</definedName>
    <definedName name="solver_typ" localSheetId="3" hidden="1">2</definedName>
    <definedName name="solver_val" localSheetId="0" hidden="1">0</definedName>
    <definedName name="solver_val" localSheetId="1" hidden="1">0</definedName>
    <definedName name="solver_val" localSheetId="3" hidden="1">0</definedName>
    <definedName name="solver_ver" localSheetId="0" hidden="1">3</definedName>
    <definedName name="solver_ver" localSheetId="1" hidden="1">3</definedName>
    <definedName name="solver_ver" localSheetId="3" hidden="1">3</definedName>
    <definedName name="t_">'[1]Diseño de ingeniería'!$G$8</definedName>
  </definedNames>
  <calcPr calcId="191029" iterate="1" iterateDelta="0.0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42" i="4" l="1"/>
  <c r="E145" i="4"/>
  <c r="E156" i="4"/>
  <c r="H143" i="4" l="1"/>
  <c r="G145" i="4"/>
  <c r="F145" i="4"/>
  <c r="F144" i="4"/>
  <c r="B196" i="4" a="1"/>
  <c r="B192" i="4" a="1"/>
  <c r="B192" i="4" l="1"/>
  <c r="B196" i="4"/>
  <c r="A199" i="4" s="1"/>
  <c r="D101" i="4"/>
  <c r="E170" i="4"/>
  <c r="G156" i="4"/>
  <c r="I156" i="4" s="1"/>
  <c r="B150" i="4"/>
  <c r="F156" i="4" l="1"/>
  <c r="H156" i="4" s="1"/>
  <c r="D157" i="4" s="1"/>
  <c r="C157" i="4" l="1"/>
  <c r="E157" i="4" s="1"/>
  <c r="F157" i="4" l="1"/>
  <c r="H157" i="4" s="1"/>
  <c r="G157" i="4"/>
  <c r="I157" i="4" s="1"/>
  <c r="C158" i="4" s="1"/>
  <c r="D158" i="4" l="1"/>
  <c r="E158" i="4" s="1"/>
  <c r="E144" i="4"/>
  <c r="G144" i="4"/>
  <c r="H144" i="4" s="1"/>
  <c r="I145" i="4" s="1"/>
  <c r="I144" i="4"/>
  <c r="J144" i="4" s="1"/>
  <c r="I143" i="4"/>
  <c r="J143" i="4" s="1"/>
  <c r="G143" i="4"/>
  <c r="F143" i="4"/>
  <c r="E143" i="4"/>
  <c r="J142" i="4"/>
  <c r="H142" i="4"/>
  <c r="G142" i="4"/>
  <c r="G158" i="4" l="1"/>
  <c r="I158" i="4" s="1"/>
  <c r="F158" i="4"/>
  <c r="H158" i="4" s="1"/>
  <c r="D159" i="4" s="1"/>
  <c r="H145" i="4"/>
  <c r="I146" i="4" s="1"/>
  <c r="J145" i="4"/>
  <c r="C132" i="4"/>
  <c r="D132" i="4" s="1"/>
  <c r="C133" i="4" s="1"/>
  <c r="D133" i="4" s="1"/>
  <c r="C134" i="4" s="1"/>
  <c r="D134" i="4" s="1"/>
  <c r="C135" i="4" s="1"/>
  <c r="D135" i="4" s="1"/>
  <c r="D131" i="4"/>
  <c r="C131" i="4"/>
  <c r="D130" i="4"/>
  <c r="C123" i="4"/>
  <c r="D123" i="4" s="1"/>
  <c r="C124" i="4" s="1"/>
  <c r="D124" i="4" s="1"/>
  <c r="C125" i="4" s="1"/>
  <c r="D125" i="4" s="1"/>
  <c r="C126" i="4" s="1"/>
  <c r="D126" i="4" s="1"/>
  <c r="C117" i="4"/>
  <c r="D117" i="4" s="1"/>
  <c r="C118" i="4" s="1"/>
  <c r="D118" i="4" s="1"/>
  <c r="C119" i="4" s="1"/>
  <c r="D119" i="4" s="1"/>
  <c r="C120" i="4" s="1"/>
  <c r="D120" i="4" s="1"/>
  <c r="C121" i="4" s="1"/>
  <c r="D121" i="4" s="1"/>
  <c r="C122" i="4" s="1"/>
  <c r="D122" i="4" s="1"/>
  <c r="C114" i="4"/>
  <c r="D114" i="4" s="1"/>
  <c r="C115" i="4" s="1"/>
  <c r="D115" i="4" s="1"/>
  <c r="C116" i="4" s="1"/>
  <c r="D116" i="4" s="1"/>
  <c r="C108" i="4"/>
  <c r="D108" i="4" s="1"/>
  <c r="C109" i="4" s="1"/>
  <c r="D109" i="4" s="1"/>
  <c r="C110" i="4" s="1"/>
  <c r="D110" i="4" s="1"/>
  <c r="C111" i="4" s="1"/>
  <c r="D111" i="4" s="1"/>
  <c r="C112" i="4" s="1"/>
  <c r="D112" i="4" s="1"/>
  <c r="C113" i="4" s="1"/>
  <c r="D113" i="4" s="1"/>
  <c r="D107" i="4"/>
  <c r="C107" i="4"/>
  <c r="D106" i="4"/>
  <c r="C159" i="4" l="1"/>
  <c r="E159" i="4" s="1"/>
  <c r="F159" i="4" s="1"/>
  <c r="H159" i="4" s="1"/>
  <c r="J146" i="4"/>
  <c r="E146" i="4"/>
  <c r="F146" i="4" s="1"/>
  <c r="D97" i="4"/>
  <c r="D96" i="4"/>
  <c r="C73" i="4"/>
  <c r="B53" i="4"/>
  <c r="C35" i="4"/>
  <c r="G159" i="4" l="1"/>
  <c r="I159" i="4" s="1"/>
  <c r="C160" i="4" s="1"/>
  <c r="G146" i="4"/>
  <c r="H146" i="4" s="1"/>
  <c r="I147" i="4" s="1"/>
  <c r="J147" i="4" s="1"/>
  <c r="C20" i="3"/>
  <c r="B20" i="3"/>
  <c r="E147" i="4" l="1"/>
  <c r="F147" i="4" s="1"/>
  <c r="D160" i="4"/>
  <c r="D15" i="2"/>
  <c r="D20" i="2" s="1"/>
  <c r="G147" i="4" l="1"/>
  <c r="H147" i="4" s="1"/>
  <c r="I148" i="4" s="1"/>
  <c r="J148" i="4" s="1"/>
  <c r="E160" i="4"/>
  <c r="F160" i="4" s="1"/>
  <c r="H160" i="4" s="1"/>
  <c r="B8" i="3"/>
  <c r="B9" i="3"/>
  <c r="B10" i="3"/>
  <c r="C12" i="3"/>
  <c r="D12" i="3"/>
  <c r="E12" i="3"/>
  <c r="F12" i="3"/>
  <c r="G12" i="3"/>
  <c r="D20" i="3"/>
  <c r="E20" i="3"/>
  <c r="F20" i="3"/>
  <c r="G20" i="3"/>
  <c r="L15" i="2"/>
  <c r="K15" i="2"/>
  <c r="J15" i="2"/>
  <c r="I15" i="2"/>
  <c r="H15" i="2"/>
  <c r="G15" i="2"/>
  <c r="F15" i="2"/>
  <c r="E148" i="4" l="1"/>
  <c r="F148" i="4" s="1"/>
  <c r="G160" i="4"/>
  <c r="I160" i="4" s="1"/>
  <c r="C161" i="4" s="1"/>
  <c r="G148" i="4" l="1"/>
  <c r="H148" i="4" s="1"/>
  <c r="I149" i="4" s="1"/>
  <c r="J149" i="4" s="1"/>
  <c r="D161" i="4"/>
  <c r="E149" i="4" l="1"/>
  <c r="F149" i="4" s="1"/>
  <c r="G149" i="4"/>
  <c r="H149" i="4" s="1"/>
  <c r="I150" i="4" s="1"/>
  <c r="J150" i="4" s="1"/>
  <c r="E161" i="4"/>
  <c r="F161" i="4" s="1"/>
  <c r="H161" i="4" s="1"/>
  <c r="E150" i="4" l="1"/>
  <c r="F150" i="4" s="1"/>
  <c r="G161" i="4"/>
  <c r="I161" i="4" s="1"/>
  <c r="C162" i="4" s="1"/>
  <c r="G150" i="4" l="1"/>
  <c r="H150" i="4" s="1"/>
  <c r="D162" i="4"/>
  <c r="E162" i="4" s="1"/>
  <c r="I151" i="4" l="1"/>
  <c r="E151" i="4"/>
  <c r="F151" i="4" s="1"/>
  <c r="F162" i="4"/>
  <c r="H162" i="4" s="1"/>
  <c r="D163" i="4" s="1"/>
  <c r="G162" i="4"/>
  <c r="I162" i="4" s="1"/>
  <c r="C163" i="4" s="1"/>
  <c r="J151" i="4" l="1"/>
  <c r="G151" i="4"/>
  <c r="H151" i="4" s="1"/>
  <c r="E163" i="4"/>
  <c r="F163" i="4" s="1"/>
  <c r="H163" i="4" s="1"/>
  <c r="G163" i="4" l="1"/>
  <c r="I163" i="4" s="1"/>
  <c r="C164" i="4" s="1"/>
  <c r="D164" i="4" l="1"/>
  <c r="E164" i="4" s="1"/>
  <c r="F164" i="4" s="1"/>
  <c r="H164" i="4" s="1"/>
  <c r="G164" i="4" l="1"/>
  <c r="I164" i="4" s="1"/>
  <c r="C165" i="4" s="1"/>
  <c r="D165" i="4" l="1"/>
  <c r="E165" i="4" l="1"/>
  <c r="F165" i="4" s="1"/>
  <c r="H165" i="4" s="1"/>
  <c r="G165" i="4" l="1"/>
  <c r="I165" i="4" s="1"/>
  <c r="G114" i="4"/>
  <c r="G115" i="4"/>
  <c r="F137" i="4"/>
  <c r="G137" i="4"/>
  <c r="B185" i="4"/>
  <c r="B186" i="4"/>
  <c r="B187" i="4"/>
  <c r="C19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<sst xmlns="http://schemas.openxmlformats.org/spreadsheetml/2006/main" count="129" uniqueCount="105">
  <si>
    <t>Total</t>
  </si>
  <si>
    <t>Cada empleado trabaja cinco días consecutivos y dispone de dos días de descanso. Se trata</t>
  </si>
  <si>
    <t>en cada momento, minimizando los costos salariales.</t>
  </si>
  <si>
    <t>Horarios</t>
  </si>
  <si>
    <t xml:space="preserve">   Días de descanso</t>
  </si>
  <si>
    <t>Empleados</t>
  </si>
  <si>
    <t>Dom</t>
  </si>
  <si>
    <t>Lun</t>
  </si>
  <si>
    <t>Mar</t>
  </si>
  <si>
    <t>Mié</t>
  </si>
  <si>
    <t>Jue</t>
  </si>
  <si>
    <t>Vie</t>
  </si>
  <si>
    <t>Sáb</t>
  </si>
  <si>
    <t>Códigos de color</t>
  </si>
  <si>
    <t xml:space="preserve">  A</t>
  </si>
  <si>
    <t>Domingo, lunes</t>
  </si>
  <si>
    <t xml:space="preserve">  B</t>
  </si>
  <si>
    <t>Lunes, martes</t>
  </si>
  <si>
    <t xml:space="preserve">  Celda objetivo</t>
  </si>
  <si>
    <t xml:space="preserve">  C</t>
  </si>
  <si>
    <t>Martes, miércoles</t>
  </si>
  <si>
    <t xml:space="preserve">  D</t>
  </si>
  <si>
    <t>Miércoles, jueves</t>
  </si>
  <si>
    <t xml:space="preserve">  Celdas a cambiar</t>
  </si>
  <si>
    <t xml:space="preserve">  E</t>
  </si>
  <si>
    <t>Jueves, viernes</t>
  </si>
  <si>
    <t xml:space="preserve">  F</t>
  </si>
  <si>
    <t>Viernes, sábado</t>
  </si>
  <si>
    <t xml:space="preserve">  Restricciones</t>
  </si>
  <si>
    <t xml:space="preserve">  G</t>
  </si>
  <si>
    <t>Sábado, domingo</t>
  </si>
  <si>
    <t>Totales por horario:</t>
  </si>
  <si>
    <t>Demanda total:</t>
  </si>
  <si>
    <t>Salario semanal:</t>
  </si>
  <si>
    <t>Envío:</t>
  </si>
  <si>
    <t>Chiclayo</t>
  </si>
  <si>
    <t>Arequipa</t>
  </si>
  <si>
    <t>Lima</t>
  </si>
  <si>
    <t>Costos de envío de la planta "x" al almacén "y" (en la intersección):</t>
  </si>
  <si>
    <t>Existencias</t>
  </si>
  <si>
    <t>Plantas:</t>
  </si>
  <si>
    <t>Demandas por almacén--&gt;</t>
  </si>
  <si>
    <t>TOTAL:</t>
  </si>
  <si>
    <t>---</t>
  </si>
  <si>
    <t>Ica</t>
  </si>
  <si>
    <t>Moquegua</t>
  </si>
  <si>
    <t>Piura</t>
  </si>
  <si>
    <t>Tacna</t>
  </si>
  <si>
    <t>Trujillo</t>
  </si>
  <si>
    <t>Plantas</t>
  </si>
  <si>
    <t>Cantidad a enviar de la planta "x" al almacén "y' (en la intersección):</t>
  </si>
  <si>
    <t>en cada planta y satisfaciendo la demanda de cada almacén regional.</t>
  </si>
  <si>
    <t>cercanos a los centros de demanda regionales, sin exceder las existencias disponibles</t>
  </si>
  <si>
    <t>Minimizar el costo de envío de mercancías desde las plantas de producción hasta los almacenes</t>
  </si>
  <si>
    <t>Ejemplo 2:  Problema de transporte.</t>
  </si>
  <si>
    <t>de confeccionar un horario adecuado, de manera que la empresa cuente con personal suficiente</t>
  </si>
  <si>
    <t>Ejemplo 1:  Planificación del horario para el personal de una empresa.</t>
  </si>
  <si>
    <t>Sueldo/empleado/semana:</t>
  </si>
  <si>
    <t>X</t>
  </si>
  <si>
    <t>F(X)</t>
  </si>
  <si>
    <t>V(T)</t>
  </si>
  <si>
    <t>T</t>
  </si>
  <si>
    <t>x</t>
  </si>
  <si>
    <t xml:space="preserve">ES EL QUE  ESTE MAS  C ERCA   DEL VALOR  QUE  LE  DES A  X </t>
  </si>
  <si>
    <t>f(x )</t>
  </si>
  <si>
    <t>Microsoft Excel 16.0 Informe de sensibilidad</t>
  </si>
  <si>
    <t>Hoja de cálculo: [Solver.xlsx]Hoja1</t>
  </si>
  <si>
    <t>Informe creado: 19/12/2020 7:52:13 a. m.</t>
  </si>
  <si>
    <t>Celdas de variables</t>
  </si>
  <si>
    <t>Celda</t>
  </si>
  <si>
    <t>Nombre</t>
  </si>
  <si>
    <t>Final</t>
  </si>
  <si>
    <t>Valor</t>
  </si>
  <si>
    <t>Reducido</t>
  </si>
  <si>
    <t>Degradado</t>
  </si>
  <si>
    <t>Restricciones</t>
  </si>
  <si>
    <t>NINGUNO</t>
  </si>
  <si>
    <t>$C$74</t>
  </si>
  <si>
    <t>x F(X)</t>
  </si>
  <si>
    <t>tetta</t>
  </si>
  <si>
    <t>teta</t>
  </si>
  <si>
    <t>time(Tetha)</t>
  </si>
  <si>
    <t>f(x)</t>
  </si>
  <si>
    <t>REORGANIZAR</t>
  </si>
  <si>
    <t>iteration</t>
  </si>
  <si>
    <t>low</t>
  </si>
  <si>
    <t>f (low)</t>
  </si>
  <si>
    <t>mid</t>
  </si>
  <si>
    <t>f (mid)</t>
  </si>
  <si>
    <t>high</t>
  </si>
  <si>
    <t>f(high)</t>
  </si>
  <si>
    <t>a</t>
  </si>
  <si>
    <t>b</t>
  </si>
  <si>
    <t>d</t>
  </si>
  <si>
    <t>x1</t>
  </si>
  <si>
    <t>x2</t>
  </si>
  <si>
    <t>fx1</t>
  </si>
  <si>
    <t>fx2</t>
  </si>
  <si>
    <t>GR</t>
  </si>
  <si>
    <t>verificando</t>
  </si>
  <si>
    <t>Solving a case study for friction factor using a circular calculation</t>
  </si>
  <si>
    <t>func(x)</t>
  </si>
  <si>
    <t>f</t>
  </si>
  <si>
    <t>r.r</t>
  </si>
  <si>
    <t>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</si>
</sst>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$&quot;#,##0_);\(&quot;$&quot;#,##0\)"/>
    <numFmt numFmtId="165" formatCode="#,##0\ &quot;$&quot;_);\(#,##0\ &quot;$&quot;\)"/>
    <numFmt numFmtId="166" formatCode="_-[$S/-280A]* #,##0.00_-;\-[$S/-280A]* #,##0.00_-;_-[$S/-280A]* &quot;-&quot;??_-;_-@_-"/>
    <numFmt numFmtId="167" formatCode="0.0000"/>
    <numFmt numFmtId="168" formatCode="0.00000000"/>
    <numFmt numFmtId="169" formatCode="0.000000"/>
  </numFmts>
  <fonts count="11" x14ac:knownFonts="1">
    <font>
      <sz val="10"/>
      <name val="Arial"/>
      <family val="2"/>
    </font>
    <font>
      <sz val="10"/>
      <name val="Arial"/>
      <family val="2"/>
    </font>
    <font>
      <b/>
      <sz val="10"/>
      <name val="Helv"/>
    </font>
    <font>
      <sz val="8"/>
      <name val="Helv"/>
    </font>
    <font>
      <b/>
      <i/>
      <sz val="8"/>
      <name val="Helv"/>
    </font>
    <font>
      <sz val="8"/>
      <name val="MS Sans Serif"/>
    </font>
    <font>
      <b/>
      <sz val="8"/>
      <name val="Helv"/>
    </font>
    <font>
      <i/>
      <sz val="8"/>
      <name val="Helv"/>
    </font>
    <font>
      <b/>
      <sz val="10"/>
      <name val="Arial"/>
      <family val="2"/>
    </font>
    <font>
      <b/>
      <sz val="10"/>
      <color indexed="18"/>
      <name val="Arial"/>
      <family val="2"/>
    </font>
    <font>
      <sz val="16"/>
      <name val="Arial"/>
      <family val="2"/>
    </font>
  </fonts>
  <fills count="4">
    <fill>
      <patternFill patternType="none"/>
    </fill>
    <fill>
      <patternFill patternType="gray125"/>
    </fill>
    <fill>
      <patternFill patternType="gray125">
        <fgColor indexed="13"/>
      </patternFill>
    </fill>
    <fill>
      <patternFill patternType="gray125">
        <fgColor indexed="13"/>
        <bgColor theme="4" tint="0.59999389629810485"/>
      </patternFill>
    </fill>
  </fills>
  <borders count="32">
    <border>
      <left/>
      <right/>
      <top/>
      <bottom/>
      <diagonal/>
    </border>
    <border>
      <left style="thick">
        <color indexed="18"/>
      </left>
      <right/>
      <top style="thick">
        <color indexed="18"/>
      </top>
      <bottom/>
      <diagonal/>
    </border>
    <border>
      <left/>
      <right/>
      <top style="thick">
        <color indexed="18"/>
      </top>
      <bottom/>
      <diagonal/>
    </border>
    <border>
      <left/>
      <right style="thick">
        <color indexed="18"/>
      </right>
      <top style="thick">
        <color indexed="18"/>
      </top>
      <bottom/>
      <diagonal/>
    </border>
    <border>
      <left style="thick">
        <color indexed="18"/>
      </left>
      <right/>
      <top/>
      <bottom/>
      <diagonal/>
    </border>
    <border>
      <left/>
      <right style="thick">
        <color indexed="18"/>
      </right>
      <top/>
      <bottom/>
      <diagonal/>
    </border>
    <border>
      <left style="thick">
        <color indexed="18"/>
      </left>
      <right/>
      <top/>
      <bottom style="thick">
        <color indexed="18"/>
      </bottom>
      <diagonal/>
    </border>
    <border>
      <left/>
      <right/>
      <top/>
      <bottom style="thick">
        <color indexed="18"/>
      </bottom>
      <diagonal/>
    </border>
    <border>
      <left/>
      <right style="thick">
        <color indexed="18"/>
      </right>
      <top/>
      <bottom style="thick">
        <color indexed="18"/>
      </bottom>
      <diagonal/>
    </border>
    <border>
      <left style="thick">
        <color indexed="17"/>
      </left>
      <right style="thick">
        <color indexed="17"/>
      </right>
      <top style="thick">
        <color indexed="17"/>
      </top>
      <bottom/>
      <diagonal/>
    </border>
    <border>
      <left style="thick">
        <color indexed="17"/>
      </left>
      <right style="thick">
        <color indexed="17"/>
      </right>
      <top/>
      <bottom/>
      <diagonal/>
    </border>
    <border>
      <left style="thick">
        <color indexed="21"/>
      </left>
      <right style="thick">
        <color indexed="21"/>
      </right>
      <top style="thick">
        <color indexed="21"/>
      </top>
      <bottom style="thick">
        <color indexed="21"/>
      </bottom>
      <diagonal/>
    </border>
    <border>
      <left style="thick">
        <color indexed="17"/>
      </left>
      <right style="thick">
        <color indexed="17"/>
      </right>
      <top style="thick">
        <color indexed="17"/>
      </top>
      <bottom style="thick">
        <color indexed="17"/>
      </bottom>
      <diagonal/>
    </border>
    <border>
      <left style="thick">
        <color indexed="16"/>
      </left>
      <right style="thick">
        <color indexed="16"/>
      </right>
      <top style="thick">
        <color indexed="16"/>
      </top>
      <bottom style="thick">
        <color indexed="16"/>
      </bottom>
      <diagonal/>
    </border>
    <border>
      <left style="thick">
        <color indexed="17"/>
      </left>
      <right style="thick">
        <color indexed="17"/>
      </right>
      <top/>
      <bottom style="thick">
        <color indexed="17"/>
      </bottom>
      <diagonal/>
    </border>
    <border>
      <left style="thick">
        <color indexed="16"/>
      </left>
      <right/>
      <top style="thick">
        <color indexed="16"/>
      </top>
      <bottom style="thick">
        <color indexed="16"/>
      </bottom>
      <diagonal/>
    </border>
    <border>
      <left/>
      <right/>
      <top style="thick">
        <color indexed="16"/>
      </top>
      <bottom style="thick">
        <color indexed="16"/>
      </bottom>
      <diagonal/>
    </border>
    <border>
      <left/>
      <right style="thick">
        <color indexed="16"/>
      </right>
      <top style="thick">
        <color indexed="16"/>
      </top>
      <bottom style="thick">
        <color indexed="16"/>
      </bottom>
      <diagonal/>
    </border>
    <border>
      <left style="thick">
        <color indexed="16"/>
      </left>
      <right style="thick">
        <color indexed="16"/>
      </right>
      <top/>
      <bottom style="thick">
        <color indexed="16"/>
      </bottom>
      <diagonal/>
    </border>
    <border>
      <left style="thick">
        <color indexed="16"/>
      </left>
      <right style="thick">
        <color indexed="16"/>
      </right>
      <top/>
      <bottom/>
      <diagonal/>
    </border>
    <border>
      <left style="thick">
        <color indexed="16"/>
      </left>
      <right style="thick">
        <color indexed="16"/>
      </right>
      <top style="thick">
        <color indexed="16"/>
      </top>
      <bottom/>
      <diagonal/>
    </border>
    <border>
      <left/>
      <right style="thick">
        <color indexed="17"/>
      </right>
      <top/>
      <bottom style="thick">
        <color indexed="17"/>
      </bottom>
      <diagonal/>
    </border>
    <border>
      <left/>
      <right/>
      <top/>
      <bottom style="thick">
        <color indexed="17"/>
      </bottom>
      <diagonal/>
    </border>
    <border>
      <left style="thick">
        <color indexed="17"/>
      </left>
      <right/>
      <top/>
      <bottom style="thick">
        <color indexed="17"/>
      </bottom>
      <diagonal/>
    </border>
    <border>
      <left/>
      <right style="thick">
        <color indexed="17"/>
      </right>
      <top/>
      <bottom/>
      <diagonal/>
    </border>
    <border>
      <left style="thick">
        <color indexed="17"/>
      </left>
      <right/>
      <top/>
      <bottom/>
      <diagonal/>
    </border>
    <border>
      <left/>
      <right style="thick">
        <color indexed="17"/>
      </right>
      <top style="thick">
        <color indexed="17"/>
      </top>
      <bottom/>
      <diagonal/>
    </border>
    <border>
      <left/>
      <right/>
      <top style="thick">
        <color indexed="17"/>
      </top>
      <bottom/>
      <diagonal/>
    </border>
    <border>
      <left style="thick">
        <color indexed="17"/>
      </left>
      <right/>
      <top style="thick">
        <color indexed="17"/>
      </top>
      <bottom/>
      <diagonal/>
    </border>
    <border>
      <left/>
      <right/>
      <top style="medium">
        <color indexed="23"/>
      </top>
      <bottom/>
      <diagonal/>
    </border>
    <border>
      <left/>
      <right/>
      <top/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</borders>
  <cellStyleXfs count="5">
    <xf numFmtId="0" fontId="0" fillId="0" borderId="0"/>
    <xf numFmtId="0" fontId="3" fillId="0" borderId="0">
      <alignment horizontal="left"/>
    </xf>
    <xf numFmtId="0" fontId="5" fillId="0" borderId="0"/>
    <xf numFmtId="0" fontId="3" fillId="0" borderId="0">
      <alignment horizontal="left"/>
    </xf>
    <xf numFmtId="0" fontId="3" fillId="0" borderId="0">
      <alignment horizontal="left"/>
    </xf>
  </cellStyleXfs>
  <cellXfs count="118">
    <xf numFmtId="0" fontId="0" fillId="0" borderId="0" xfId="0"/>
    <xf numFmtId="0" fontId="2" fillId="0" borderId="0" xfId="0" applyFont="1"/>
    <xf numFmtId="0" fontId="0" fillId="0" borderId="0" xfId="0" applyAlignment="1"/>
    <xf numFmtId="0" fontId="3" fillId="2" borderId="1" xfId="1" applyNumberFormat="1" applyFont="1" applyFill="1" applyBorder="1" applyAlignment="1">
      <alignment horizontal="left"/>
    </xf>
    <xf numFmtId="0" fontId="3" fillId="2" borderId="4" xfId="1" applyNumberFormat="1" applyFont="1" applyFill="1" applyBorder="1" applyAlignment="1">
      <alignment horizontal="left"/>
    </xf>
    <xf numFmtId="0" fontId="3" fillId="2" borderId="6" xfId="1" applyNumberFormat="1" applyFont="1" applyFill="1" applyBorder="1" applyAlignment="1">
      <alignment horizontal="left"/>
    </xf>
    <xf numFmtId="0" fontId="4" fillId="0" borderId="1" xfId="0" applyNumberFormat="1" applyFont="1" applyFill="1" applyBorder="1" applyAlignment="1">
      <alignment horizontal="left"/>
    </xf>
    <xf numFmtId="0" fontId="4" fillId="0" borderId="2" xfId="0" applyNumberFormat="1" applyFont="1" applyFill="1" applyBorder="1" applyAlignment="1">
      <alignment horizontal="left"/>
    </xf>
    <xf numFmtId="0" fontId="4" fillId="0" borderId="2" xfId="0" applyFont="1" applyFill="1" applyBorder="1" applyAlignment="1"/>
    <xf numFmtId="0" fontId="4" fillId="0" borderId="2" xfId="0" applyNumberFormat="1" applyFont="1" applyFill="1" applyBorder="1" applyAlignment="1">
      <alignment horizontal="center"/>
    </xf>
    <xf numFmtId="0" fontId="4" fillId="0" borderId="3" xfId="0" applyNumberFormat="1" applyFont="1" applyFill="1" applyBorder="1" applyAlignment="1">
      <alignment horizontal="center"/>
    </xf>
    <xf numFmtId="49" fontId="6" fillId="0" borderId="1" xfId="2" applyNumberFormat="1" applyFont="1" applyFill="1" applyBorder="1" applyAlignment="1">
      <alignment vertical="top"/>
    </xf>
    <xf numFmtId="49" fontId="3" fillId="0" borderId="2" xfId="3" applyNumberFormat="1" applyFont="1" applyFill="1" applyBorder="1" applyAlignment="1">
      <alignment vertical="top"/>
    </xf>
    <xf numFmtId="49" fontId="5" fillId="0" borderId="3" xfId="2" applyNumberFormat="1" applyFont="1" applyFill="1" applyBorder="1" applyAlignment="1">
      <alignment vertical="top"/>
    </xf>
    <xf numFmtId="0" fontId="4" fillId="0" borderId="4" xfId="0" applyNumberFormat="1" applyFont="1" applyFill="1" applyBorder="1" applyAlignment="1">
      <alignment horizontal="left"/>
    </xf>
    <xf numFmtId="0" fontId="7" fillId="0" borderId="0" xfId="0" applyNumberFormat="1" applyFont="1" applyFill="1" applyBorder="1" applyAlignment="1">
      <alignment horizontal="left"/>
    </xf>
    <xf numFmtId="0" fontId="7" fillId="0" borderId="0" xfId="0" applyFont="1" applyFill="1" applyBorder="1" applyAlignment="1"/>
    <xf numFmtId="1" fontId="0" fillId="0" borderId="9" xfId="0" applyNumberFormat="1" applyFill="1" applyBorder="1" applyAlignment="1">
      <alignment horizontal="center"/>
    </xf>
    <xf numFmtId="1" fontId="0" fillId="0" borderId="0" xfId="0" applyNumberFormat="1" applyFill="1" applyBorder="1" applyAlignment="1"/>
    <xf numFmtId="1" fontId="0" fillId="0" borderId="0" xfId="0" applyNumberFormat="1" applyFill="1" applyBorder="1" applyAlignment="1">
      <alignment horizontal="center"/>
    </xf>
    <xf numFmtId="1" fontId="0" fillId="0" borderId="5" xfId="0" applyNumberFormat="1" applyFill="1" applyBorder="1" applyAlignment="1">
      <alignment horizontal="center"/>
    </xf>
    <xf numFmtId="49" fontId="3" fillId="0" borderId="4" xfId="3" applyNumberFormat="1" applyFont="1" applyFill="1" applyBorder="1" applyAlignment="1">
      <alignment vertical="top"/>
    </xf>
    <xf numFmtId="49" fontId="1" fillId="0" borderId="0" xfId="0" applyNumberFormat="1" applyFont="1" applyAlignment="1">
      <alignment vertical="top"/>
    </xf>
    <xf numFmtId="49" fontId="3" fillId="0" borderId="5" xfId="3" applyNumberFormat="1" applyFont="1" applyFill="1" applyBorder="1" applyAlignment="1">
      <alignment vertical="top"/>
    </xf>
    <xf numFmtId="1" fontId="0" fillId="0" borderId="10" xfId="0" applyNumberFormat="1" applyFill="1" applyBorder="1" applyAlignment="1">
      <alignment horizontal="center"/>
    </xf>
    <xf numFmtId="164" fontId="6" fillId="0" borderId="11" xfId="1" applyNumberFormat="1" applyFont="1" applyFill="1" applyBorder="1" applyAlignment="1">
      <alignment horizontal="center"/>
    </xf>
    <xf numFmtId="49" fontId="3" fillId="0" borderId="0" xfId="3" applyNumberFormat="1" applyFont="1" applyBorder="1" applyAlignment="1">
      <alignment vertical="top"/>
    </xf>
    <xf numFmtId="49" fontId="3" fillId="0" borderId="0" xfId="3" applyNumberFormat="1" applyFont="1" applyAlignment="1">
      <alignment vertical="top"/>
    </xf>
    <xf numFmtId="38" fontId="3" fillId="0" borderId="12" xfId="4" applyNumberFormat="1" applyFill="1" applyBorder="1" applyAlignment="1"/>
    <xf numFmtId="0" fontId="0" fillId="0" borderId="13" xfId="0" applyBorder="1"/>
    <xf numFmtId="0" fontId="4" fillId="0" borderId="6" xfId="0" applyNumberFormat="1" applyFont="1" applyFill="1" applyBorder="1" applyAlignment="1">
      <alignment horizontal="left"/>
    </xf>
    <xf numFmtId="0" fontId="7" fillId="0" borderId="7" xfId="0" applyNumberFormat="1" applyFont="1" applyFill="1" applyBorder="1" applyAlignment="1">
      <alignment horizontal="left"/>
    </xf>
    <xf numFmtId="0" fontId="7" fillId="0" borderId="7" xfId="0" applyFont="1" applyFill="1" applyBorder="1" applyAlignment="1"/>
    <xf numFmtId="1" fontId="0" fillId="0" borderId="14" xfId="0" applyNumberFormat="1" applyFill="1" applyBorder="1" applyAlignment="1">
      <alignment horizontal="center"/>
    </xf>
    <xf numFmtId="1" fontId="0" fillId="0" borderId="7" xfId="0" applyNumberFormat="1" applyFill="1" applyBorder="1" applyAlignment="1"/>
    <xf numFmtId="1" fontId="0" fillId="0" borderId="7" xfId="0" applyNumberFormat="1" applyFill="1" applyBorder="1" applyAlignment="1">
      <alignment horizontal="center"/>
    </xf>
    <xf numFmtId="1" fontId="0" fillId="0" borderId="8" xfId="0" applyNumberFormat="1" applyFill="1" applyBorder="1" applyAlignment="1">
      <alignment horizontal="center"/>
    </xf>
    <xf numFmtId="49" fontId="3" fillId="0" borderId="6" xfId="2" applyNumberFormat="1" applyFont="1" applyFill="1" applyBorder="1" applyAlignment="1">
      <alignment vertical="top"/>
    </xf>
    <xf numFmtId="49" fontId="3" fillId="0" borderId="7" xfId="3" applyNumberFormat="1" applyFont="1" applyFill="1" applyBorder="1" applyAlignment="1">
      <alignment vertical="top"/>
    </xf>
    <xf numFmtId="49" fontId="5" fillId="0" borderId="8" xfId="2" applyNumberFormat="1" applyFont="1" applyFill="1" applyBorder="1" applyAlignment="1">
      <alignment vertical="top"/>
    </xf>
    <xf numFmtId="1" fontId="0" fillId="0" borderId="0" xfId="0" applyNumberFormat="1" applyAlignment="1"/>
    <xf numFmtId="0" fontId="4" fillId="0" borderId="0" xfId="0" applyNumberFormat="1" applyFont="1" applyAlignment="1">
      <alignment horizontal="right"/>
    </xf>
    <xf numFmtId="1" fontId="0" fillId="0" borderId="0" xfId="0" applyNumberFormat="1" applyAlignment="1">
      <alignment horizontal="center"/>
    </xf>
    <xf numFmtId="1" fontId="0" fillId="0" borderId="15" xfId="0" applyNumberFormat="1" applyFill="1" applyBorder="1" applyAlignment="1">
      <alignment horizontal="center"/>
    </xf>
    <xf numFmtId="1" fontId="0" fillId="0" borderId="16" xfId="0" applyNumberFormat="1" applyFill="1" applyBorder="1" applyAlignment="1">
      <alignment horizontal="center"/>
    </xf>
    <xf numFmtId="1" fontId="0" fillId="0" borderId="17" xfId="0" applyNumberForma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0" fontId="3" fillId="3" borderId="1" xfId="1" applyNumberFormat="1" applyFont="1" applyFill="1" applyBorder="1" applyAlignment="1">
      <alignment horizontal="left"/>
    </xf>
    <xf numFmtId="0" fontId="0" fillId="3" borderId="2" xfId="0" applyFill="1" applyBorder="1" applyAlignment="1"/>
    <xf numFmtId="0" fontId="0" fillId="3" borderId="3" xfId="0" applyFill="1" applyBorder="1" applyAlignment="1"/>
    <xf numFmtId="0" fontId="3" fillId="3" borderId="4" xfId="1" applyNumberFormat="1" applyFont="1" applyFill="1" applyBorder="1" applyAlignment="1">
      <alignment horizontal="left"/>
    </xf>
    <xf numFmtId="0" fontId="0" fillId="3" borderId="0" xfId="0" applyFill="1" applyBorder="1" applyAlignment="1"/>
    <xf numFmtId="0" fontId="0" fillId="3" borderId="5" xfId="0" applyFill="1" applyBorder="1" applyAlignment="1"/>
    <xf numFmtId="0" fontId="3" fillId="3" borderId="6" xfId="1" applyNumberFormat="1" applyFont="1" applyFill="1" applyBorder="1" applyAlignment="1">
      <alignment horizontal="left"/>
    </xf>
    <xf numFmtId="0" fontId="0" fillId="3" borderId="7" xfId="0" applyFill="1" applyBorder="1" applyAlignment="1"/>
    <xf numFmtId="0" fontId="0" fillId="3" borderId="8" xfId="0" applyFill="1" applyBorder="1" applyAlignment="1"/>
    <xf numFmtId="0" fontId="3" fillId="0" borderId="0" xfId="1">
      <alignment horizontal="left"/>
    </xf>
    <xf numFmtId="0" fontId="3" fillId="0" borderId="0" xfId="1" applyAlignment="1"/>
    <xf numFmtId="0" fontId="3" fillId="0" borderId="8" xfId="1" applyFont="1" applyFill="1" applyBorder="1">
      <alignment horizontal="left"/>
    </xf>
    <xf numFmtId="165" fontId="3" fillId="0" borderId="7" xfId="1" applyNumberFormat="1" applyFont="1" applyFill="1" applyBorder="1" applyAlignment="1"/>
    <xf numFmtId="165" fontId="6" fillId="0" borderId="11" xfId="1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>
      <alignment horizontal="left"/>
    </xf>
    <xf numFmtId="0" fontId="3" fillId="0" borderId="3" xfId="1" applyFont="1" applyFill="1" applyBorder="1">
      <alignment horizontal="left"/>
    </xf>
    <xf numFmtId="1" fontId="3" fillId="0" borderId="2" xfId="1" applyNumberFormat="1" applyFont="1" applyFill="1" applyBorder="1" applyAlignment="1"/>
    <xf numFmtId="0" fontId="3" fillId="0" borderId="1" xfId="1" applyFont="1" applyFill="1" applyBorder="1" applyAlignment="1"/>
    <xf numFmtId="1" fontId="3" fillId="0" borderId="7" xfId="1" applyNumberFormat="1" applyFont="1" applyFill="1" applyBorder="1" applyAlignment="1"/>
    <xf numFmtId="1" fontId="3" fillId="0" borderId="18" xfId="1" applyNumberFormat="1" applyFont="1" applyFill="1" applyBorder="1" applyAlignment="1">
      <alignment horizontal="center"/>
    </xf>
    <xf numFmtId="0" fontId="3" fillId="0" borderId="4" xfId="1" applyNumberFormat="1" applyFont="1" applyFill="1" applyBorder="1" applyAlignment="1">
      <alignment horizontal="left"/>
    </xf>
    <xf numFmtId="0" fontId="3" fillId="0" borderId="5" xfId="1" applyFont="1" applyFill="1" applyBorder="1">
      <alignment horizontal="left"/>
    </xf>
    <xf numFmtId="1" fontId="3" fillId="0" borderId="0" xfId="1" applyNumberFormat="1" applyFont="1" applyFill="1" applyBorder="1" applyAlignment="1"/>
    <xf numFmtId="1" fontId="3" fillId="0" borderId="19" xfId="1" applyNumberFormat="1" applyFont="1" applyFill="1" applyBorder="1" applyAlignment="1">
      <alignment horizontal="center"/>
    </xf>
    <xf numFmtId="1" fontId="3" fillId="0" borderId="20" xfId="1" applyNumberFormat="1" applyFont="1" applyFill="1" applyBorder="1" applyAlignment="1">
      <alignment horizontal="center"/>
    </xf>
    <xf numFmtId="0" fontId="3" fillId="0" borderId="2" xfId="1" applyFont="1" applyFill="1" applyBorder="1">
      <alignment horizontal="left"/>
    </xf>
    <xf numFmtId="1" fontId="7" fillId="0" borderId="2" xfId="1" applyNumberFormat="1" applyFont="1" applyFill="1" applyBorder="1" applyAlignment="1">
      <alignment horizontal="left"/>
    </xf>
    <xf numFmtId="1" fontId="7" fillId="0" borderId="2" xfId="1" applyNumberFormat="1" applyFont="1" applyFill="1" applyBorder="1" applyAlignment="1">
      <alignment horizontal="center"/>
    </xf>
    <xf numFmtId="0" fontId="7" fillId="0" borderId="1" xfId="1" applyFont="1" applyFill="1" applyBorder="1">
      <alignment horizontal="left"/>
    </xf>
    <xf numFmtId="1" fontId="3" fillId="0" borderId="17" xfId="1" applyNumberFormat="1" applyFont="1" applyFill="1" applyBorder="1" applyAlignment="1"/>
    <xf numFmtId="1" fontId="3" fillId="0" borderId="16" xfId="1" applyNumberFormat="1" applyFont="1" applyFill="1" applyBorder="1" applyAlignment="1"/>
    <xf numFmtId="1" fontId="3" fillId="0" borderId="15" xfId="1" applyNumberFormat="1" applyFont="1" applyFill="1" applyBorder="1" applyAlignment="1"/>
    <xf numFmtId="0" fontId="7" fillId="0" borderId="7" xfId="1" applyNumberFormat="1" applyFont="1" applyFill="1" applyBorder="1" applyAlignment="1">
      <alignment horizontal="right"/>
    </xf>
    <xf numFmtId="0" fontId="3" fillId="0" borderId="6" xfId="1" applyFont="1" applyFill="1" applyBorder="1">
      <alignment horizontal="left"/>
    </xf>
    <xf numFmtId="0" fontId="3" fillId="0" borderId="4" xfId="1" applyFont="1" applyFill="1" applyBorder="1" applyAlignment="1"/>
    <xf numFmtId="1" fontId="3" fillId="0" borderId="0" xfId="1" applyNumberFormat="1" applyFont="1" applyFill="1" applyBorder="1" applyAlignment="1">
      <alignment horizontal="right"/>
    </xf>
    <xf numFmtId="1" fontId="3" fillId="0" borderId="21" xfId="1" applyNumberFormat="1" applyFont="1" applyFill="1" applyBorder="1" applyAlignment="1"/>
    <xf numFmtId="1" fontId="3" fillId="0" borderId="22" xfId="1" applyNumberFormat="1" applyFont="1" applyFill="1" applyBorder="1" applyAlignment="1"/>
    <xf numFmtId="1" fontId="3" fillId="0" borderId="23" xfId="1" applyNumberFormat="1" applyFont="1" applyFill="1" applyBorder="1" applyAlignment="1"/>
    <xf numFmtId="1" fontId="3" fillId="0" borderId="24" xfId="1" applyNumberFormat="1" applyFont="1" applyFill="1" applyBorder="1" applyAlignment="1"/>
    <xf numFmtId="1" fontId="3" fillId="0" borderId="25" xfId="1" applyNumberFormat="1" applyFont="1" applyFill="1" applyBorder="1" applyAlignment="1"/>
    <xf numFmtId="1" fontId="3" fillId="0" borderId="26" xfId="1" applyNumberFormat="1" applyFont="1" applyFill="1" applyBorder="1" applyAlignment="1"/>
    <xf numFmtId="1" fontId="3" fillId="0" borderId="27" xfId="1" applyNumberFormat="1" applyFont="1" applyFill="1" applyBorder="1" applyAlignment="1"/>
    <xf numFmtId="1" fontId="3" fillId="0" borderId="28" xfId="1" applyNumberFormat="1" applyFont="1" applyFill="1" applyBorder="1" applyAlignment="1"/>
    <xf numFmtId="0" fontId="7" fillId="0" borderId="0" xfId="1" applyNumberFormat="1" applyFont="1" applyFill="1" applyBorder="1" applyAlignment="1">
      <alignment horizontal="right"/>
    </xf>
    <xf numFmtId="0" fontId="7" fillId="0" borderId="0" xfId="1" applyNumberFormat="1" applyFont="1" applyFill="1" applyBorder="1" applyAlignment="1">
      <alignment horizontal="center"/>
    </xf>
    <xf numFmtId="0" fontId="7" fillId="0" borderId="4" xfId="1" applyNumberFormat="1" applyFont="1" applyFill="1" applyBorder="1" applyAlignment="1">
      <alignment horizontal="left"/>
    </xf>
    <xf numFmtId="0" fontId="7" fillId="0" borderId="2" xfId="1" applyNumberFormat="1" applyFont="1" applyFill="1" applyBorder="1" applyAlignment="1">
      <alignment horizontal="left"/>
    </xf>
    <xf numFmtId="0" fontId="3" fillId="0" borderId="1" xfId="1" applyFont="1" applyFill="1" applyBorder="1">
      <alignment horizontal="left"/>
    </xf>
    <xf numFmtId="0" fontId="3" fillId="2" borderId="8" xfId="1" applyFill="1" applyBorder="1">
      <alignment horizontal="left"/>
    </xf>
    <xf numFmtId="0" fontId="3" fillId="2" borderId="7" xfId="1" applyFill="1" applyBorder="1" applyAlignment="1"/>
    <xf numFmtId="0" fontId="3" fillId="2" borderId="5" xfId="1" applyFill="1" applyBorder="1">
      <alignment horizontal="left"/>
    </xf>
    <xf numFmtId="0" fontId="3" fillId="2" borderId="0" xfId="1" applyFill="1" applyBorder="1" applyAlignment="1"/>
    <xf numFmtId="0" fontId="3" fillId="2" borderId="3" xfId="1" applyFill="1" applyBorder="1">
      <alignment horizontal="left"/>
    </xf>
    <xf numFmtId="0" fontId="3" fillId="2" borderId="2" xfId="1" applyFill="1" applyBorder="1" applyAlignment="1"/>
    <xf numFmtId="166" fontId="0" fillId="0" borderId="0" xfId="0" applyNumberFormat="1" applyAlignment="1">
      <alignment horizontal="center"/>
    </xf>
    <xf numFmtId="166" fontId="6" fillId="0" borderId="11" xfId="0" applyNumberFormat="1" applyFont="1" applyFill="1" applyBorder="1" applyAlignment="1"/>
    <xf numFmtId="1" fontId="0" fillId="0" borderId="0" xfId="0" applyNumberFormat="1"/>
    <xf numFmtId="167" fontId="0" fillId="0" borderId="0" xfId="0" applyNumberFormat="1"/>
    <xf numFmtId="168" fontId="0" fillId="0" borderId="0" xfId="0" applyNumberFormat="1"/>
    <xf numFmtId="0" fontId="8" fillId="0" borderId="0" xfId="0" applyFont="1"/>
    <xf numFmtId="0" fontId="0" fillId="0" borderId="31" xfId="0" applyFill="1" applyBorder="1" applyAlignment="1"/>
    <xf numFmtId="0" fontId="9" fillId="0" borderId="29" xfId="0" applyFont="1" applyFill="1" applyBorder="1" applyAlignment="1">
      <alignment horizontal="center"/>
    </xf>
    <xf numFmtId="0" fontId="9" fillId="0" borderId="30" xfId="0" applyFont="1" applyFill="1" applyBorder="1" applyAlignment="1">
      <alignment horizontal="center"/>
    </xf>
    <xf numFmtId="11" fontId="0" fillId="0" borderId="0" xfId="0" applyNumberFormat="1"/>
    <xf numFmtId="169" fontId="0" fillId="0" borderId="0" xfId="0" applyNumberForma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wrapText="1"/>
    </xf>
  </cellXfs>
  <cellStyles count="5">
    <cellStyle name="Normal" xfId="0" builtinId="0"/>
    <cellStyle name="Normal_Solver Example" xfId="2" xr:uid="{00000000-0005-0000-0000-000001000000}"/>
    <cellStyle name="Normal_SOLVER1" xfId="3" xr:uid="{00000000-0005-0000-0000-000002000000}"/>
    <cellStyle name="Normal_SOLVER2" xfId="1" xr:uid="{00000000-0005-0000-0000-000003000000}"/>
    <cellStyle name="Normal_SOLVER4" xfId="4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Hoja1!$C$193:$M$193</c:f>
              <c:numCache>
                <c:formatCode>0.00E+00</c:formatCode>
                <c:ptCount val="11"/>
                <c:pt idx="0" formatCode="General">
                  <c:v>1.9740052260660477E-2</c:v>
                </c:pt>
                <c:pt idx="1">
                  <c:v>10000</c:v>
                </c:pt>
                <c:pt idx="2">
                  <c:v>20000</c:v>
                </c:pt>
                <c:pt idx="3">
                  <c:v>50000</c:v>
                </c:pt>
                <c:pt idx="4">
                  <c:v>100000</c:v>
                </c:pt>
                <c:pt idx="5">
                  <c:v>200000</c:v>
                </c:pt>
                <c:pt idx="6">
                  <c:v>500000</c:v>
                </c:pt>
                <c:pt idx="7">
                  <c:v>1000000</c:v>
                </c:pt>
                <c:pt idx="8">
                  <c:v>2000000</c:v>
                </c:pt>
                <c:pt idx="9">
                  <c:v>5000000</c:v>
                </c:pt>
                <c:pt idx="10">
                  <c:v>10000000</c:v>
                </c:pt>
              </c:numCache>
            </c:numRef>
          </c:xVal>
          <c:yVal>
            <c:numRef>
              <c:f>Hoja1!$C$194:$M$194</c:f>
              <c:numCache>
                <c:formatCode>General</c:formatCode>
                <c:ptCount val="11"/>
                <c:pt idx="0" formatCode="0.00E+00">
                  <c:v>1.0000000000000001E-5</c:v>
                </c:pt>
                <c:pt idx="1">
                  <c:v>3.0890843279727433E-2</c:v>
                </c:pt>
                <c:pt idx="2">
                  <c:v>2.5906764374961207E-2</c:v>
                </c:pt>
                <c:pt idx="3">
                  <c:v>2.0928719029241965E-2</c:v>
                </c:pt>
                <c:pt idx="4">
                  <c:v>1.8039750915661529E-2</c:v>
                </c:pt>
                <c:pt idx="5">
                  <c:v>1.5716595289616733E-2</c:v>
                </c:pt>
                <c:pt idx="6">
                  <c:v>1.3300889481420285E-2</c:v>
                </c:pt>
                <c:pt idx="7">
                  <c:v>1.1868726853509324E-2</c:v>
                </c:pt>
                <c:pt idx="8">
                  <c:v>1.0720124636943058E-2</c:v>
                </c:pt>
                <c:pt idx="9">
                  <c:v>9.5879091088951988E-3</c:v>
                </c:pt>
                <c:pt idx="10">
                  <c:v>8.9956732271582705E-3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7-4066-B621-F568CA24B7B4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Hoja1!$C$193:$M$193</c:f>
              <c:numCache>
                <c:formatCode>0.00E+00</c:formatCode>
                <c:ptCount val="11"/>
                <c:pt idx="0" formatCode="General">
                  <c:v>1.9740052260660477E-2</c:v>
                </c:pt>
                <c:pt idx="1">
                  <c:v>10000</c:v>
                </c:pt>
                <c:pt idx="2">
                  <c:v>20000</c:v>
                </c:pt>
                <c:pt idx="3">
                  <c:v>50000</c:v>
                </c:pt>
                <c:pt idx="4">
                  <c:v>100000</c:v>
                </c:pt>
                <c:pt idx="5">
                  <c:v>200000</c:v>
                </c:pt>
                <c:pt idx="6">
                  <c:v>500000</c:v>
                </c:pt>
                <c:pt idx="7">
                  <c:v>1000000</c:v>
                </c:pt>
                <c:pt idx="8">
                  <c:v>2000000</c:v>
                </c:pt>
                <c:pt idx="9">
                  <c:v>5000000</c:v>
                </c:pt>
                <c:pt idx="10">
                  <c:v>10000000</c:v>
                </c:pt>
              </c:numCache>
            </c:numRef>
          </c:xVal>
          <c:yVal>
            <c:numRef>
              <c:f>Hoja1!$C$195:$M$195</c:f>
              <c:numCache>
                <c:formatCode>General</c:formatCode>
                <c:ptCount val="11"/>
                <c:pt idx="0" formatCode="0.00E+00">
                  <c:v>2.0000000000000002E-5</c:v>
                </c:pt>
                <c:pt idx="1">
                  <c:v>3.091713393124489E-2</c:v>
                </c:pt>
                <c:pt idx="2">
                  <c:v>2.5928685351770273E-2</c:v>
                </c:pt>
                <c:pt idx="3">
                  <c:v>2.0964763171562616E-2</c:v>
                </c:pt>
                <c:pt idx="4">
                  <c:v>1.8093578675195902E-2</c:v>
                </c:pt>
                <c:pt idx="5">
                  <c:v>1.579762525567913E-2</c:v>
                </c:pt>
                <c:pt idx="6">
                  <c:v>1.3441321088031982E-2</c:v>
                </c:pt>
                <c:pt idx="7">
                  <c:v>1.207999408182024E-2</c:v>
                </c:pt>
                <c:pt idx="8">
                  <c:v>1.1030851756506175E-2</c:v>
                </c:pt>
                <c:pt idx="9">
                  <c:v>1.0069761009690897E-2</c:v>
                </c:pt>
                <c:pt idx="10">
                  <c:v>9.6164904551495727E-3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37-4066-B621-F568CA24B7B4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Hoja1!$C$193:$M$193</c:f>
              <c:numCache>
                <c:formatCode>0.00E+00</c:formatCode>
                <c:ptCount val="11"/>
                <c:pt idx="0" formatCode="General">
                  <c:v>1.9740052260660477E-2</c:v>
                </c:pt>
                <c:pt idx="1">
                  <c:v>10000</c:v>
                </c:pt>
                <c:pt idx="2">
                  <c:v>20000</c:v>
                </c:pt>
                <c:pt idx="3">
                  <c:v>50000</c:v>
                </c:pt>
                <c:pt idx="4">
                  <c:v>100000</c:v>
                </c:pt>
                <c:pt idx="5">
                  <c:v>200000</c:v>
                </c:pt>
                <c:pt idx="6">
                  <c:v>500000</c:v>
                </c:pt>
                <c:pt idx="7">
                  <c:v>1000000</c:v>
                </c:pt>
                <c:pt idx="8">
                  <c:v>2000000</c:v>
                </c:pt>
                <c:pt idx="9">
                  <c:v>5000000</c:v>
                </c:pt>
                <c:pt idx="10">
                  <c:v>10000000</c:v>
                </c:pt>
              </c:numCache>
            </c:numRef>
          </c:xVal>
          <c:yVal>
            <c:numRef>
              <c:f>Hoja1!$C$196:$M$196</c:f>
              <c:numCache>
                <c:formatCode>General</c:formatCode>
                <c:ptCount val="11"/>
                <c:pt idx="0" formatCode="0.00E+00">
                  <c:v>5.0000000000000002E-5</c:v>
                </c:pt>
                <c:pt idx="1">
                  <c:v>3.096321308517206E-2</c:v>
                </c:pt>
                <c:pt idx="2">
                  <c:v>2.5994270017733825E-2</c:v>
                </c:pt>
                <c:pt idx="3">
                  <c:v>2.1072150237090845E-2</c:v>
                </c:pt>
                <c:pt idx="4">
                  <c:v>1.8252812834856458E-2</c:v>
                </c:pt>
                <c:pt idx="5">
                  <c:v>1.6034256105282928E-2</c:v>
                </c:pt>
                <c:pt idx="6">
                  <c:v>1.3837523967143751E-2</c:v>
                </c:pt>
                <c:pt idx="7">
                  <c:v>1.2648623493398433E-2</c:v>
                </c:pt>
                <c:pt idx="8">
                  <c:v>1.1809622924849874E-2</c:v>
                </c:pt>
                <c:pt idx="9">
                  <c:v>1.1135749397536972E-2</c:v>
                </c:pt>
                <c:pt idx="10">
                  <c:v>1.0859795814564465E-2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737-4066-B621-F568CA24B7B4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Hoja1!$C$193:$M$193</c:f>
              <c:numCache>
                <c:formatCode>0.00E+00</c:formatCode>
                <c:ptCount val="11"/>
                <c:pt idx="0" formatCode="General">
                  <c:v>1.9740052260660477E-2</c:v>
                </c:pt>
                <c:pt idx="1">
                  <c:v>10000</c:v>
                </c:pt>
                <c:pt idx="2">
                  <c:v>20000</c:v>
                </c:pt>
                <c:pt idx="3">
                  <c:v>50000</c:v>
                </c:pt>
                <c:pt idx="4">
                  <c:v>100000</c:v>
                </c:pt>
                <c:pt idx="5">
                  <c:v>200000</c:v>
                </c:pt>
                <c:pt idx="6">
                  <c:v>500000</c:v>
                </c:pt>
                <c:pt idx="7">
                  <c:v>1000000</c:v>
                </c:pt>
                <c:pt idx="8">
                  <c:v>2000000</c:v>
                </c:pt>
                <c:pt idx="9">
                  <c:v>5000000</c:v>
                </c:pt>
                <c:pt idx="10">
                  <c:v>10000000</c:v>
                </c:pt>
              </c:numCache>
            </c:numRef>
          </c:xVal>
          <c:yVal>
            <c:numRef>
              <c:f>Hoja1!$C$197:$M$197</c:f>
              <c:numCache>
                <c:formatCode>General</c:formatCode>
                <c:ptCount val="11"/>
                <c:pt idx="0" formatCode="0.00E+00">
                  <c:v>1E-4</c:v>
                </c:pt>
                <c:pt idx="1">
                  <c:v>3.1039800889226778E-2</c:v>
                </c:pt>
                <c:pt idx="2">
                  <c:v>2.6102984704257783E-2</c:v>
                </c:pt>
                <c:pt idx="3">
                  <c:v>2.1248706793605597E-2</c:v>
                </c:pt>
                <c:pt idx="4">
                  <c:v>1.8511093442178651E-2</c:v>
                </c:pt>
                <c:pt idx="5">
                  <c:v>1.6409093068310784E-2</c:v>
                </c:pt>
                <c:pt idx="6">
                  <c:v>1.442971679911509E-2</c:v>
                </c:pt>
                <c:pt idx="7">
                  <c:v>1.3441352842450571E-2</c:v>
                </c:pt>
                <c:pt idx="8">
                  <c:v>1.2803701992098151E-2</c:v>
                </c:pt>
                <c:pt idx="9">
                  <c:v>1.2339981131654252E-2</c:v>
                </c:pt>
                <c:pt idx="10">
                  <c:v>1.2166090481146358E-2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737-4066-B621-F568CA24B7B4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Hoja1!$C$193:$M$193</c:f>
              <c:numCache>
                <c:formatCode>0.00E+00</c:formatCode>
                <c:ptCount val="11"/>
                <c:pt idx="0" formatCode="General">
                  <c:v>1.9740052260660477E-2</c:v>
                </c:pt>
                <c:pt idx="1">
                  <c:v>10000</c:v>
                </c:pt>
                <c:pt idx="2">
                  <c:v>20000</c:v>
                </c:pt>
                <c:pt idx="3">
                  <c:v>50000</c:v>
                </c:pt>
                <c:pt idx="4">
                  <c:v>100000</c:v>
                </c:pt>
                <c:pt idx="5">
                  <c:v>200000</c:v>
                </c:pt>
                <c:pt idx="6">
                  <c:v>500000</c:v>
                </c:pt>
                <c:pt idx="7">
                  <c:v>1000000</c:v>
                </c:pt>
                <c:pt idx="8">
                  <c:v>2000000</c:v>
                </c:pt>
                <c:pt idx="9">
                  <c:v>5000000</c:v>
                </c:pt>
                <c:pt idx="10">
                  <c:v>10000000</c:v>
                </c:pt>
              </c:numCache>
            </c:numRef>
          </c:xVal>
          <c:yVal>
            <c:numRef>
              <c:f>Hoja1!$C$198:$M$198</c:f>
              <c:numCache>
                <c:formatCode>General</c:formatCode>
                <c:ptCount val="11"/>
                <c:pt idx="0" formatCode="0.00E+00">
                  <c:v>2.0000000000000001E-4</c:v>
                </c:pt>
                <c:pt idx="1">
                  <c:v>3.1192602061454355E-2</c:v>
                </c:pt>
                <c:pt idx="2">
                  <c:v>2.6318236362007544E-2</c:v>
                </c:pt>
                <c:pt idx="3">
                  <c:v>2.158690642772337E-2</c:v>
                </c:pt>
                <c:pt idx="4">
                  <c:v>1.9003543670221765E-2</c:v>
                </c:pt>
                <c:pt idx="5">
                  <c:v>1.7097337472663419E-2</c:v>
                </c:pt>
                <c:pt idx="6">
                  <c:v>1.5433338077995263E-2</c:v>
                </c:pt>
                <c:pt idx="7">
                  <c:v>1.4683850800543267E-2</c:v>
                </c:pt>
                <c:pt idx="8">
                  <c:v>1.4240436896586899E-2</c:v>
                </c:pt>
                <c:pt idx="9">
                  <c:v>1.3943727632425422E-2</c:v>
                </c:pt>
                <c:pt idx="10">
                  <c:v>1.383849740710834E-2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737-4066-B621-F568CA24B7B4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Hoja1!$C$193:$M$193</c:f>
              <c:numCache>
                <c:formatCode>0.00E+00</c:formatCode>
                <c:ptCount val="11"/>
                <c:pt idx="0" formatCode="General">
                  <c:v>1.9740052260660477E-2</c:v>
                </c:pt>
                <c:pt idx="1">
                  <c:v>10000</c:v>
                </c:pt>
                <c:pt idx="2">
                  <c:v>20000</c:v>
                </c:pt>
                <c:pt idx="3">
                  <c:v>50000</c:v>
                </c:pt>
                <c:pt idx="4">
                  <c:v>100000</c:v>
                </c:pt>
                <c:pt idx="5">
                  <c:v>200000</c:v>
                </c:pt>
                <c:pt idx="6">
                  <c:v>500000</c:v>
                </c:pt>
                <c:pt idx="7">
                  <c:v>1000000</c:v>
                </c:pt>
                <c:pt idx="8">
                  <c:v>2000000</c:v>
                </c:pt>
                <c:pt idx="9">
                  <c:v>5000000</c:v>
                </c:pt>
                <c:pt idx="10">
                  <c:v>10000000</c:v>
                </c:pt>
              </c:numCache>
            </c:numRef>
          </c:xVal>
          <c:yVal>
            <c:numRef>
              <c:f>Hoja1!$C$199:$M$199</c:f>
              <c:numCache>
                <c:formatCode>General</c:formatCode>
                <c:ptCount val="11"/>
                <c:pt idx="0" formatCode="0.00E+00">
                  <c:v>5.0000000000000001E-4</c:v>
                </c:pt>
                <c:pt idx="1">
                  <c:v>3.163346567752489E-2</c:v>
                </c:pt>
                <c:pt idx="2">
                  <c:v>2.6938895133597242E-2</c:v>
                </c:pt>
                <c:pt idx="3">
                  <c:v>2.2561806917419547E-2</c:v>
                </c:pt>
                <c:pt idx="4">
                  <c:v>2.0326278972692527E-2</c:v>
                </c:pt>
                <c:pt idx="5">
                  <c:v>1.8819630498700696E-2</c:v>
                </c:pt>
                <c:pt idx="6">
                  <c:v>1.7663499118953926E-2</c:v>
                </c:pt>
                <c:pt idx="7">
                  <c:v>1.7206819224146911E-2</c:v>
                </c:pt>
                <c:pt idx="8">
                  <c:v>1.6960265702662999E-2</c:v>
                </c:pt>
                <c:pt idx="9">
                  <c:v>1.6805421028898763E-2</c:v>
                </c:pt>
                <c:pt idx="10">
                  <c:v>1.6752544105852821E-2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737-4066-B621-F568CA24B7B4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Hoja1!$C$193:$M$193</c:f>
              <c:numCache>
                <c:formatCode>0.00E+00</c:formatCode>
                <c:ptCount val="11"/>
                <c:pt idx="0" formatCode="General">
                  <c:v>1.9740052260660477E-2</c:v>
                </c:pt>
                <c:pt idx="1">
                  <c:v>10000</c:v>
                </c:pt>
                <c:pt idx="2">
                  <c:v>20000</c:v>
                </c:pt>
                <c:pt idx="3">
                  <c:v>50000</c:v>
                </c:pt>
                <c:pt idx="4">
                  <c:v>100000</c:v>
                </c:pt>
                <c:pt idx="5">
                  <c:v>200000</c:v>
                </c:pt>
                <c:pt idx="6">
                  <c:v>500000</c:v>
                </c:pt>
                <c:pt idx="7">
                  <c:v>1000000</c:v>
                </c:pt>
                <c:pt idx="8">
                  <c:v>2000000</c:v>
                </c:pt>
                <c:pt idx="9">
                  <c:v>5000000</c:v>
                </c:pt>
                <c:pt idx="10">
                  <c:v>10000000</c:v>
                </c:pt>
              </c:numCache>
            </c:numRef>
          </c:xVal>
          <c:yVal>
            <c:numRef>
              <c:f>Hoja1!$C$200:$M$200</c:f>
              <c:numCache>
                <c:formatCode>General</c:formatCode>
                <c:ptCount val="11"/>
                <c:pt idx="0" formatCode="0.00E+00">
                  <c:v>1E-3</c:v>
                </c:pt>
                <c:pt idx="1">
                  <c:v>3.2375271777051677E-2</c:v>
                </c:pt>
                <c:pt idx="2">
                  <c:v>2.7940764068875808E-2</c:v>
                </c:pt>
                <c:pt idx="3">
                  <c:v>2.4019373851530135E-2</c:v>
                </c:pt>
                <c:pt idx="4">
                  <c:v>2.2174321214853746E-2</c:v>
                </c:pt>
                <c:pt idx="5">
                  <c:v>2.1034637546865822E-2</c:v>
                </c:pt>
                <c:pt idx="6">
                  <c:v>2.0235621819830601E-2</c:v>
                </c:pt>
                <c:pt idx="7">
                  <c:v>1.9943482390355427E-2</c:v>
                </c:pt>
                <c:pt idx="8">
                  <c:v>1.9791610722946443E-2</c:v>
                </c:pt>
                <c:pt idx="9">
                  <c:v>1.9698457511554836E-2</c:v>
                </c:pt>
                <c:pt idx="10">
                  <c:v>1.96984572758498E-2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737-4066-B621-F568CA24B7B4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Hoja1!$C$193:$M$193</c:f>
              <c:numCache>
                <c:formatCode>0.00E+00</c:formatCode>
                <c:ptCount val="11"/>
                <c:pt idx="0" formatCode="General">
                  <c:v>1.9740052260660477E-2</c:v>
                </c:pt>
                <c:pt idx="1">
                  <c:v>10000</c:v>
                </c:pt>
                <c:pt idx="2">
                  <c:v>20000</c:v>
                </c:pt>
                <c:pt idx="3">
                  <c:v>50000</c:v>
                </c:pt>
                <c:pt idx="4">
                  <c:v>100000</c:v>
                </c:pt>
                <c:pt idx="5">
                  <c:v>200000</c:v>
                </c:pt>
                <c:pt idx="6">
                  <c:v>500000</c:v>
                </c:pt>
                <c:pt idx="7">
                  <c:v>1000000</c:v>
                </c:pt>
                <c:pt idx="8">
                  <c:v>2000000</c:v>
                </c:pt>
                <c:pt idx="9">
                  <c:v>5000000</c:v>
                </c:pt>
                <c:pt idx="10">
                  <c:v>10000000</c:v>
                </c:pt>
              </c:numCache>
            </c:numRef>
          </c:xVal>
          <c:yVal>
            <c:numRef>
              <c:f>Hoja1!$C$201:$M$201</c:f>
              <c:numCache>
                <c:formatCode>General</c:formatCode>
                <c:ptCount val="11"/>
                <c:pt idx="0" formatCode="0.00E+00">
                  <c:v>2E-3</c:v>
                </c:pt>
                <c:pt idx="1">
                  <c:v>3.3790450121157792E-2</c:v>
                </c:pt>
                <c:pt idx="2">
                  <c:v>2.9785992190830984E-2</c:v>
                </c:pt>
                <c:pt idx="3">
                  <c:v>2.650518043548844E-2</c:v>
                </c:pt>
                <c:pt idx="4">
                  <c:v>2.5107956535894031E-2</c:v>
                </c:pt>
                <c:pt idx="5">
                  <c:v>2.4309582711432669E-2</c:v>
                </c:pt>
                <c:pt idx="6">
                  <c:v>2.3788870650067469E-2</c:v>
                </c:pt>
                <c:pt idx="7">
                  <c:v>2.3606993169563193E-2</c:v>
                </c:pt>
                <c:pt idx="8">
                  <c:v>2.351434369454573E-2</c:v>
                </c:pt>
                <c:pt idx="9">
                  <c:v>2.3514343329265813E-2</c:v>
                </c:pt>
                <c:pt idx="10">
                  <c:v>2.3458136553539472E-2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737-4066-B621-F568CA24B7B4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Hoja1!$C$193:$M$193</c:f>
              <c:numCache>
                <c:formatCode>0.00E+00</c:formatCode>
                <c:ptCount val="11"/>
                <c:pt idx="0" formatCode="General">
                  <c:v>1.9740052260660477E-2</c:v>
                </c:pt>
                <c:pt idx="1">
                  <c:v>10000</c:v>
                </c:pt>
                <c:pt idx="2">
                  <c:v>20000</c:v>
                </c:pt>
                <c:pt idx="3">
                  <c:v>50000</c:v>
                </c:pt>
                <c:pt idx="4">
                  <c:v>100000</c:v>
                </c:pt>
                <c:pt idx="5">
                  <c:v>200000</c:v>
                </c:pt>
                <c:pt idx="6">
                  <c:v>500000</c:v>
                </c:pt>
                <c:pt idx="7">
                  <c:v>1000000</c:v>
                </c:pt>
                <c:pt idx="8">
                  <c:v>2000000</c:v>
                </c:pt>
                <c:pt idx="9">
                  <c:v>5000000</c:v>
                </c:pt>
                <c:pt idx="10">
                  <c:v>10000000</c:v>
                </c:pt>
              </c:numCache>
            </c:numRef>
          </c:xVal>
          <c:yVal>
            <c:numRef>
              <c:f>Hoja1!$C$202:$M$202</c:f>
              <c:numCache>
                <c:formatCode>General</c:formatCode>
                <c:ptCount val="11"/>
                <c:pt idx="0" formatCode="0.00E+00">
                  <c:v>5.0000000000000001E-3</c:v>
                </c:pt>
                <c:pt idx="1">
                  <c:v>3.7640488511786641E-2</c:v>
                </c:pt>
                <c:pt idx="2">
                  <c:v>3.4469581292718064E-2</c:v>
                </c:pt>
                <c:pt idx="3">
                  <c:v>3.2176206973844781E-2</c:v>
                </c:pt>
                <c:pt idx="4">
                  <c:v>3.1306564372415448E-2</c:v>
                </c:pt>
                <c:pt idx="5">
                  <c:v>3.0846793626987532E-2</c:v>
                </c:pt>
                <c:pt idx="6">
                  <c:v>3.0561709366209246E-2</c:v>
                </c:pt>
                <c:pt idx="7">
                  <c:v>3.0561706531306826E-2</c:v>
                </c:pt>
                <c:pt idx="8">
                  <c:v>3.0464871852249355E-2</c:v>
                </c:pt>
                <c:pt idx="9">
                  <c:v>3.0416323718894384E-2</c:v>
                </c:pt>
                <c:pt idx="10">
                  <c:v>3.0387050383788451E-2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737-4066-B621-F568CA24B7B4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Hoja1!$C$193:$M$193</c:f>
              <c:numCache>
                <c:formatCode>0.00E+00</c:formatCode>
                <c:ptCount val="11"/>
                <c:pt idx="0" formatCode="General">
                  <c:v>1.9740052260660477E-2</c:v>
                </c:pt>
                <c:pt idx="1">
                  <c:v>10000</c:v>
                </c:pt>
                <c:pt idx="2">
                  <c:v>20000</c:v>
                </c:pt>
                <c:pt idx="3">
                  <c:v>50000</c:v>
                </c:pt>
                <c:pt idx="4">
                  <c:v>100000</c:v>
                </c:pt>
                <c:pt idx="5">
                  <c:v>200000</c:v>
                </c:pt>
                <c:pt idx="6">
                  <c:v>500000</c:v>
                </c:pt>
                <c:pt idx="7">
                  <c:v>1000000</c:v>
                </c:pt>
                <c:pt idx="8">
                  <c:v>2000000</c:v>
                </c:pt>
                <c:pt idx="9">
                  <c:v>5000000</c:v>
                </c:pt>
                <c:pt idx="10">
                  <c:v>10000000</c:v>
                </c:pt>
              </c:numCache>
            </c:numRef>
          </c:xVal>
          <c:yVal>
            <c:numRef>
              <c:f>Hoja1!$C$203:$M$203</c:f>
              <c:numCache>
                <c:formatCode>General</c:formatCode>
                <c:ptCount val="11"/>
                <c:pt idx="0" formatCode="0.00E+00">
                  <c:v>0.01</c:v>
                </c:pt>
                <c:pt idx="1">
                  <c:v>4.312936817559386E-2</c:v>
                </c:pt>
                <c:pt idx="2">
                  <c:v>4.0707946655584651E-2</c:v>
                </c:pt>
                <c:pt idx="3">
                  <c:v>3.9081989822755243E-2</c:v>
                </c:pt>
                <c:pt idx="4">
                  <c:v>3.8503577445374235E-2</c:v>
                </c:pt>
                <c:pt idx="5">
                  <c:v>3.8206497020187372E-2</c:v>
                </c:pt>
                <c:pt idx="6">
                  <c:v>3.8025532701255818E-2</c:v>
                </c:pt>
                <c:pt idx="7">
                  <c:v>3.802553224000204E-2</c:v>
                </c:pt>
                <c:pt idx="8">
                  <c:v>3.7964693130197597E-2</c:v>
                </c:pt>
                <c:pt idx="9">
                  <c:v>3.7934244768570116E-2</c:v>
                </c:pt>
                <c:pt idx="10">
                  <c:v>3.7915934240571353E-2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737-4066-B621-F568CA24B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943376"/>
        <c:axId val="603942064"/>
      </c:scatterChart>
      <c:valAx>
        <c:axId val="60394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03942064"/>
        <c:crosses val="autoZero"/>
        <c:crossBetween val="midCat"/>
      </c:valAx>
      <c:valAx>
        <c:axId val="60394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03943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2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1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1.xml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504825</xdr:colOff>
      <xdr:row>2</xdr:row>
      <xdr:rowOff>76199</xdr:rowOff>
    </xdr:from>
    <xdr:to>
      <xdr:col>25</xdr:col>
      <xdr:colOff>219075</xdr:colOff>
      <xdr:row>24</xdr:row>
      <xdr:rowOff>66675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7267575" y="409574"/>
          <a:ext cx="4591050" cy="3038476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4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El objetivo de este modelo es programar el horario de los empleados de manera que se cuente siempre con</a:t>
          </a:r>
          <a:r>
            <a:rPr lang="en-US" sz="1400">
              <a:solidFill>
                <a:schemeClr val="bg1"/>
              </a:solidFill>
            </a:rPr>
            <a:t> </a:t>
          </a:r>
          <a:r>
            <a:rPr lang="en-US" sz="14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suficiente plantilla al menor coste. En este ejemplo se paga a todos los empleados utilizando la misma tasa,</a:t>
          </a:r>
          <a:r>
            <a:rPr lang="en-US" sz="1400">
              <a:solidFill>
                <a:schemeClr val="bg1"/>
              </a:solidFill>
            </a:rPr>
            <a:t> </a:t>
          </a:r>
          <a:r>
            <a:rPr lang="en-US" sz="14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de forma que al minimizar el número de empleados que trabajan cada día, también se minimizan los costos.</a:t>
          </a:r>
          <a:r>
            <a:rPr lang="en-US" sz="1400">
              <a:solidFill>
                <a:schemeClr val="bg1"/>
              </a:solidFill>
            </a:rPr>
            <a:t> </a:t>
          </a:r>
          <a:r>
            <a:rPr lang="en-US" sz="14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Cada empleado trabaja cinco días consecutivos y dispone de dos días libres.</a:t>
          </a:r>
          <a:r>
            <a:rPr lang="en-US" sz="1400">
              <a:solidFill>
                <a:schemeClr val="bg1"/>
              </a:solidFill>
            </a:rPr>
            <a:t> </a:t>
          </a:r>
        </a:p>
        <a:p>
          <a:endParaRPr lang="en-US" sz="1400">
            <a:solidFill>
              <a:schemeClr val="bg1"/>
            </a:solidFill>
          </a:endParaRPr>
        </a:p>
        <a:p>
          <a:r>
            <a:rPr lang="en-US" sz="1400">
              <a:solidFill>
                <a:schemeClr val="bg1"/>
              </a:solidFill>
            </a:rPr>
            <a:t>Restricciones:</a:t>
          </a:r>
        </a:p>
        <a:p>
          <a:r>
            <a:rPr lang="en-US" sz="14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 El número de empleados debe ser mayor o igual a 0.</a:t>
          </a:r>
          <a:r>
            <a:rPr lang="en-US" sz="1400">
              <a:solidFill>
                <a:schemeClr val="bg1"/>
              </a:solidFill>
            </a:rPr>
            <a:t> </a:t>
          </a:r>
        </a:p>
        <a:p>
          <a:r>
            <a:rPr lang="en-US" sz="1400">
              <a:solidFill>
                <a:schemeClr val="bg1"/>
              </a:solidFill>
            </a:rPr>
            <a:t>- </a:t>
          </a:r>
          <a:r>
            <a:rPr lang="en-US" sz="14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El número de empleados debe ser un número entero.</a:t>
          </a:r>
          <a:r>
            <a:rPr lang="en-US" sz="1400">
              <a:solidFill>
                <a:schemeClr val="bg1"/>
              </a:solidFill>
            </a:rPr>
            <a:t> </a:t>
          </a:r>
        </a:p>
        <a:p>
          <a:r>
            <a:rPr lang="en-US" sz="1400">
              <a:solidFill>
                <a:schemeClr val="bg1"/>
              </a:solidFill>
            </a:rPr>
            <a:t>- </a:t>
          </a:r>
          <a:r>
            <a:rPr lang="en-US" sz="14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El número de empleados que trabajan cada día debe</a:t>
          </a:r>
          <a:r>
            <a:rPr lang="en-US" sz="1400">
              <a:solidFill>
                <a:schemeClr val="bg1"/>
              </a:solidFill>
            </a:rPr>
            <a:t> </a:t>
          </a:r>
          <a:r>
            <a:rPr lang="en-US" sz="14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ser mayor o igual a la demanda.</a:t>
          </a:r>
          <a:r>
            <a:rPr lang="en-US" sz="1400">
              <a:solidFill>
                <a:schemeClr val="bg1"/>
              </a:solidFill>
            </a:rPr>
            <a:t>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1</xdr:row>
      <xdr:rowOff>9525</xdr:rowOff>
    </xdr:from>
    <xdr:to>
      <xdr:col>23</xdr:col>
      <xdr:colOff>66675</xdr:colOff>
      <xdr:row>28</xdr:row>
      <xdr:rowOff>19050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886575" y="190500"/>
          <a:ext cx="4591050" cy="3714750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4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El problema que se presenta en este modelo implica el envío de mercancías desde tres plantas</a:t>
          </a:r>
          <a:r>
            <a:rPr lang="en-US" sz="1400"/>
            <a:t> </a:t>
          </a:r>
          <a:r>
            <a:rPr lang="en-US" sz="14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 cinco almacenes diferentes. Las mercancías pueden enviarse desde cualquier planta a cualquier</a:t>
          </a:r>
          <a:r>
            <a:rPr lang="en-US" sz="1400"/>
            <a:t> </a:t>
          </a:r>
          <a:r>
            <a:rPr lang="en-US" sz="14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almacén, pero obviamente es más costoso enviar mercancías a largas distancias que a cortas</a:t>
          </a:r>
          <a:r>
            <a:rPr lang="en-US" sz="1400"/>
            <a:t> </a:t>
          </a:r>
          <a:r>
            <a:rPr lang="en-US" sz="14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distancias. El problema consiste en determinar las distancias desde cada planta a cada almacén con</a:t>
          </a:r>
          <a:r>
            <a:rPr lang="en-US" sz="1400"/>
            <a:t> </a:t>
          </a:r>
          <a:r>
            <a:rPr lang="en-US" sz="14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un mínimo costo de envío para poder satisfacer la demanda regional sin sobrepasar los suministros de</a:t>
          </a:r>
          <a:r>
            <a:rPr lang="en-US" sz="1400"/>
            <a:t> </a:t>
          </a:r>
          <a:r>
            <a:rPr lang="en-US" sz="14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cada planta.</a:t>
          </a:r>
          <a:r>
            <a:rPr lang="en-US" sz="1400"/>
            <a:t> </a:t>
          </a:r>
          <a:endParaRPr lang="en-US" sz="1400">
            <a:solidFill>
              <a:schemeClr val="bg1"/>
            </a:solidFill>
          </a:endParaRPr>
        </a:p>
        <a:p>
          <a:endParaRPr lang="en-US" sz="1400">
            <a:solidFill>
              <a:schemeClr val="bg1"/>
            </a:solidFill>
          </a:endParaRPr>
        </a:p>
        <a:p>
          <a:r>
            <a:rPr lang="en-US" sz="1400">
              <a:solidFill>
                <a:schemeClr val="bg1"/>
              </a:solidFill>
            </a:rPr>
            <a:t>Restricciones:</a:t>
          </a:r>
        </a:p>
        <a:p>
          <a:r>
            <a:rPr lang="en-US" sz="14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en-US" sz="14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El total enviado debe ser menor o igual a </a:t>
          </a:r>
          <a:r>
            <a:rPr lang="en-US" sz="1400"/>
            <a:t> </a:t>
          </a:r>
          <a:r>
            <a:rPr lang="en-US" sz="14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la cantidad disponible en cada planta.</a:t>
          </a:r>
          <a:r>
            <a:rPr lang="en-US" sz="1400"/>
            <a:t> </a:t>
          </a:r>
        </a:p>
        <a:p>
          <a:r>
            <a:rPr lang="en-US" sz="1400">
              <a:solidFill>
                <a:schemeClr val="bg1"/>
              </a:solidFill>
            </a:rPr>
            <a:t>- </a:t>
          </a:r>
          <a:r>
            <a:rPr lang="en-US" sz="14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El total enviado a los almacenes debe ser mayor</a:t>
          </a:r>
          <a:r>
            <a:rPr lang="en-US" sz="1400"/>
            <a:t> </a:t>
          </a:r>
          <a:r>
            <a:rPr lang="en-US" sz="14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igual a la demanda de los almacenes.</a:t>
          </a:r>
          <a:r>
            <a:rPr lang="en-US" sz="1400"/>
            <a:t> </a:t>
          </a:r>
        </a:p>
        <a:p>
          <a:r>
            <a:rPr lang="en-US" sz="1400">
              <a:solidFill>
                <a:schemeClr val="bg1"/>
              </a:solidFill>
            </a:rPr>
            <a:t>- </a:t>
          </a:r>
          <a:r>
            <a:rPr lang="en-US" sz="14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El número que se va a enviar debe ser mayor</a:t>
          </a:r>
          <a:r>
            <a:rPr lang="en-US" sz="1400"/>
            <a:t> </a:t>
          </a:r>
          <a:r>
            <a:rPr lang="en-US" sz="14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igual a 0.</a:t>
          </a:r>
          <a:r>
            <a:rPr lang="en-US" sz="1400"/>
            <a:t> </a:t>
          </a:r>
          <a:endParaRPr lang="en-US" sz="1400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36</xdr:row>
      <xdr:rowOff>162255</xdr:rowOff>
    </xdr:from>
    <xdr:to>
      <xdr:col>6</xdr:col>
      <xdr:colOff>496979</xdr:colOff>
      <xdr:row>49</xdr:row>
      <xdr:rowOff>52933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A258336-69A8-481A-805C-E9FAAB4FDF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003454"/>
          <a:ext cx="5076190" cy="2000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6</xdr:col>
      <xdr:colOff>313714</xdr:colOff>
      <xdr:row>65</xdr:row>
      <xdr:rowOff>53173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A12565C-F7E0-43F3-B8FE-686FECD598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9121140"/>
          <a:ext cx="4885714" cy="133333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76</xdr:row>
      <xdr:rowOff>0</xdr:rowOff>
    </xdr:from>
    <xdr:to>
      <xdr:col>4</xdr:col>
      <xdr:colOff>694952</xdr:colOff>
      <xdr:row>91</xdr:row>
      <xdr:rowOff>28271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00CCCA0-9378-4EF1-ADCD-1FCE24BBD2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2000" y="12161520"/>
          <a:ext cx="2980952" cy="242857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79</xdr:row>
      <xdr:rowOff>0</xdr:rowOff>
    </xdr:from>
    <xdr:to>
      <xdr:col>10</xdr:col>
      <xdr:colOff>638283</xdr:colOff>
      <xdr:row>89</xdr:row>
      <xdr:rowOff>56943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29BDA50D-27D6-429A-A6C3-B2E5185151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0" y="12641580"/>
          <a:ext cx="4542857" cy="1657143"/>
        </a:xfrm>
        <a:prstGeom prst="rect">
          <a:avLst/>
        </a:prstGeom>
      </xdr:spPr>
    </xdr:pic>
    <xdr:clientData/>
  </xdr:twoCellAnchor>
  <xdr:twoCellAnchor editAs="oneCell">
    <xdr:from>
      <xdr:col>4</xdr:col>
      <xdr:colOff>586740</xdr:colOff>
      <xdr:row>104</xdr:row>
      <xdr:rowOff>30480</xdr:rowOff>
    </xdr:from>
    <xdr:to>
      <xdr:col>6</xdr:col>
      <xdr:colOff>72264</xdr:colOff>
      <xdr:row>107</xdr:row>
      <xdr:rowOff>150420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359E6B15-1C7D-4F3E-9E9E-1783796D1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634740" y="16672560"/>
          <a:ext cx="1009524" cy="600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128</xdr:row>
      <xdr:rowOff>0</xdr:rowOff>
    </xdr:from>
    <xdr:to>
      <xdr:col>6</xdr:col>
      <xdr:colOff>495143</xdr:colOff>
      <xdr:row>131</xdr:row>
      <xdr:rowOff>81845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E380D592-0532-45D0-B044-6B8BF83FB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0" y="20482560"/>
          <a:ext cx="1257143" cy="561905"/>
        </a:xfrm>
        <a:prstGeom prst="rect">
          <a:avLst/>
        </a:prstGeom>
      </xdr:spPr>
    </xdr:pic>
    <xdr:clientData/>
  </xdr:twoCellAnchor>
  <xdr:twoCellAnchor editAs="oneCell">
    <xdr:from>
      <xdr:col>9</xdr:col>
      <xdr:colOff>312158</xdr:colOff>
      <xdr:row>152</xdr:row>
      <xdr:rowOff>151875</xdr:rowOff>
    </xdr:from>
    <xdr:to>
      <xdr:col>17</xdr:col>
      <xdr:colOff>102535</xdr:colOff>
      <xdr:row>172</xdr:row>
      <xdr:rowOff>122904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8369C025-2C5C-49F5-BF05-0BDE1DD2DA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209572" y="25113944"/>
          <a:ext cx="6015986" cy="3255512"/>
        </a:xfrm>
        <a:prstGeom prst="rect">
          <a:avLst/>
        </a:prstGeom>
      </xdr:spPr>
    </xdr:pic>
    <xdr:clientData/>
  </xdr:twoCellAnchor>
  <xdr:twoCellAnchor editAs="oneCell">
    <xdr:from>
      <xdr:col>9</xdr:col>
      <xdr:colOff>405086</xdr:colOff>
      <xdr:row>173</xdr:row>
      <xdr:rowOff>98535</xdr:rowOff>
    </xdr:from>
    <xdr:to>
      <xdr:col>16</xdr:col>
      <xdr:colOff>735389</xdr:colOff>
      <xdr:row>191</xdr:row>
      <xdr:rowOff>42542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3DF30875-85BA-4FD9-A9D7-07D2B1AEF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302500" y="28509311"/>
          <a:ext cx="5792560" cy="290004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151</xdr:row>
      <xdr:rowOff>0</xdr:rowOff>
    </xdr:from>
    <xdr:to>
      <xdr:col>4</xdr:col>
      <xdr:colOff>343432</xdr:colOff>
      <xdr:row>152</xdr:row>
      <xdr:rowOff>131014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B279DE80-563C-47EC-BE8C-720B789324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32759" y="24797845"/>
          <a:ext cx="1876190" cy="295238"/>
        </a:xfrm>
        <a:prstGeom prst="rect">
          <a:avLst/>
        </a:prstGeom>
      </xdr:spPr>
    </xdr:pic>
    <xdr:clientData/>
  </xdr:twoCellAnchor>
  <xdr:twoCellAnchor editAs="oneCell">
    <xdr:from>
      <xdr:col>3</xdr:col>
      <xdr:colOff>3950</xdr:colOff>
      <xdr:row>180</xdr:row>
      <xdr:rowOff>1953</xdr:rowOff>
    </xdr:from>
    <xdr:to>
      <xdr:col>9</xdr:col>
      <xdr:colOff>458549</xdr:colOff>
      <xdr:row>188</xdr:row>
      <xdr:rowOff>116731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455C3A1B-ED5F-455F-9E60-FFD7E64BE8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89950" y="28731412"/>
          <a:ext cx="5026599" cy="1391643"/>
        </a:xfrm>
        <a:prstGeom prst="rect">
          <a:avLst/>
        </a:prstGeom>
      </xdr:spPr>
    </xdr:pic>
    <xdr:clientData/>
  </xdr:twoCellAnchor>
  <xdr:twoCellAnchor>
    <xdr:from>
      <xdr:col>13</xdr:col>
      <xdr:colOff>547835</xdr:colOff>
      <xdr:row>192</xdr:row>
      <xdr:rowOff>40438</xdr:rowOff>
    </xdr:from>
    <xdr:to>
      <xdr:col>19</xdr:col>
      <xdr:colOff>565693</xdr:colOff>
      <xdr:row>209</xdr:row>
      <xdr:rowOff>551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2B680BC7-D962-44EF-A251-BC7B040FEE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205</xdr:row>
      <xdr:rowOff>0</xdr:rowOff>
    </xdr:from>
    <xdr:to>
      <xdr:col>8</xdr:col>
      <xdr:colOff>332840</xdr:colOff>
      <xdr:row>209</xdr:row>
      <xdr:rowOff>110189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1B005710-5EC8-407B-9E5D-36E6D5847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27149" y="33888533"/>
          <a:ext cx="4914286" cy="771429"/>
        </a:xfrm>
        <a:prstGeom prst="rect">
          <a:avLst/>
        </a:prstGeom>
      </xdr:spPr>
    </xdr:pic>
    <xdr:clientData/>
  </xdr:twoCellAnchor>
  <xdr:twoCellAnchor editAs="oneCell">
    <xdr:from>
      <xdr:col>2</xdr:col>
      <xdr:colOff>156575</xdr:colOff>
      <xdr:row>137</xdr:row>
      <xdr:rowOff>104384</xdr:rowOff>
    </xdr:from>
    <xdr:to>
      <xdr:col>4</xdr:col>
      <xdr:colOff>157300</xdr:colOff>
      <xdr:row>139</xdr:row>
      <xdr:rowOff>124566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3CAA052B-7178-4915-87AB-5723B293C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670137" y="21555206"/>
          <a:ext cx="1514286" cy="3333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ergio/Downloads/Solver%20-%20Muestras%20en%20Ingl&#233;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ergio/AppData/Local/Temp/Material%20Otros/semana12%20-%20analisis/02_Analisis%20-%20buscar%20objetiv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seo"/>
      <sheetName val="Mezcla de productos"/>
      <sheetName val="Horario del personal"/>
      <sheetName val="Incremento de ingresos"/>
      <sheetName val="Cartera de valores"/>
      <sheetName val="Diseño de ingeniería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>
        <row r="6">
          <cell r="G6">
            <v>9</v>
          </cell>
        </row>
        <row r="8">
          <cell r="G8">
            <v>0.05</v>
          </cell>
        </row>
        <row r="9">
          <cell r="G9">
            <v>8</v>
          </cell>
        </row>
        <row r="10">
          <cell r="G10">
            <v>1E-4</v>
          </cell>
        </row>
        <row r="12">
          <cell r="G12">
            <v>300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scar objetivo1"/>
      <sheetName val="buscar objetivo2"/>
      <sheetName val="resultados"/>
    </sheet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Q30"/>
  <sheetViews>
    <sheetView showGridLines="0" topLeftCell="B5" workbookViewId="0">
      <selection activeCell="D13" sqref="D13"/>
    </sheetView>
  </sheetViews>
  <sheetFormatPr baseColWidth="10" defaultColWidth="9.140625" defaultRowHeight="12.75" x14ac:dyDescent="0.2"/>
  <cols>
    <col min="1" max="1" width="7.28515625" customWidth="1"/>
    <col min="2" max="2" width="9.140625" customWidth="1"/>
    <col min="3" max="3" width="13" customWidth="1"/>
    <col min="4" max="4" width="12.5703125" customWidth="1"/>
    <col min="5" max="5" width="2.7109375" customWidth="1"/>
    <col min="6" max="6" width="5.140625" customWidth="1"/>
    <col min="7" max="7" width="5.42578125" customWidth="1"/>
    <col min="8" max="8" width="5.140625" customWidth="1"/>
    <col min="9" max="9" width="5.7109375" customWidth="1"/>
    <col min="10" max="10" width="5.140625" customWidth="1"/>
    <col min="11" max="11" width="4" customWidth="1"/>
    <col min="12" max="12" width="4.7109375" customWidth="1"/>
    <col min="13" max="13" width="3.28515625" customWidth="1"/>
    <col min="14" max="14" width="3" customWidth="1"/>
    <col min="15" max="15" width="7.7109375" customWidth="1"/>
    <col min="16" max="16" width="7.85546875" customWidth="1"/>
    <col min="17" max="17" width="5.85546875" customWidth="1"/>
    <col min="257" max="257" width="7.28515625" customWidth="1"/>
    <col min="258" max="258" width="9.140625" customWidth="1"/>
    <col min="259" max="259" width="9.42578125" customWidth="1"/>
    <col min="260" max="260" width="9.85546875" customWidth="1"/>
    <col min="261" max="261" width="2.7109375" customWidth="1"/>
    <col min="262" max="262" width="5.140625" customWidth="1"/>
    <col min="263" max="263" width="5.42578125" customWidth="1"/>
    <col min="264" max="264" width="5.140625" customWidth="1"/>
    <col min="265" max="265" width="5.7109375" customWidth="1"/>
    <col min="266" max="266" width="5.140625" customWidth="1"/>
    <col min="267" max="267" width="4" customWidth="1"/>
    <col min="268" max="268" width="4.7109375" customWidth="1"/>
    <col min="269" max="269" width="3.28515625" customWidth="1"/>
    <col min="270" max="270" width="3" customWidth="1"/>
    <col min="271" max="271" width="7.7109375" customWidth="1"/>
    <col min="272" max="272" width="7.85546875" customWidth="1"/>
    <col min="273" max="273" width="5.85546875" customWidth="1"/>
    <col min="513" max="513" width="7.28515625" customWidth="1"/>
    <col min="514" max="514" width="9.140625" customWidth="1"/>
    <col min="515" max="515" width="9.42578125" customWidth="1"/>
    <col min="516" max="516" width="9.85546875" customWidth="1"/>
    <col min="517" max="517" width="2.7109375" customWidth="1"/>
    <col min="518" max="518" width="5.140625" customWidth="1"/>
    <col min="519" max="519" width="5.42578125" customWidth="1"/>
    <col min="520" max="520" width="5.140625" customWidth="1"/>
    <col min="521" max="521" width="5.7109375" customWidth="1"/>
    <col min="522" max="522" width="5.140625" customWidth="1"/>
    <col min="523" max="523" width="4" customWidth="1"/>
    <col min="524" max="524" width="4.7109375" customWidth="1"/>
    <col min="525" max="525" width="3.28515625" customWidth="1"/>
    <col min="526" max="526" width="3" customWidth="1"/>
    <col min="527" max="527" width="7.7109375" customWidth="1"/>
    <col min="528" max="528" width="7.85546875" customWidth="1"/>
    <col min="529" max="529" width="5.85546875" customWidth="1"/>
    <col min="769" max="769" width="7.28515625" customWidth="1"/>
    <col min="770" max="770" width="9.140625" customWidth="1"/>
    <col min="771" max="771" width="9.42578125" customWidth="1"/>
    <col min="772" max="772" width="9.85546875" customWidth="1"/>
    <col min="773" max="773" width="2.7109375" customWidth="1"/>
    <col min="774" max="774" width="5.140625" customWidth="1"/>
    <col min="775" max="775" width="5.42578125" customWidth="1"/>
    <col min="776" max="776" width="5.140625" customWidth="1"/>
    <col min="777" max="777" width="5.7109375" customWidth="1"/>
    <col min="778" max="778" width="5.140625" customWidth="1"/>
    <col min="779" max="779" width="4" customWidth="1"/>
    <col min="780" max="780" width="4.7109375" customWidth="1"/>
    <col min="781" max="781" width="3.28515625" customWidth="1"/>
    <col min="782" max="782" width="3" customWidth="1"/>
    <col min="783" max="783" width="7.7109375" customWidth="1"/>
    <col min="784" max="784" width="7.85546875" customWidth="1"/>
    <col min="785" max="785" width="5.85546875" customWidth="1"/>
    <col min="1025" max="1025" width="7.28515625" customWidth="1"/>
    <col min="1026" max="1026" width="9.140625" customWidth="1"/>
    <col min="1027" max="1027" width="9.42578125" customWidth="1"/>
    <col min="1028" max="1028" width="9.85546875" customWidth="1"/>
    <col min="1029" max="1029" width="2.7109375" customWidth="1"/>
    <col min="1030" max="1030" width="5.140625" customWidth="1"/>
    <col min="1031" max="1031" width="5.42578125" customWidth="1"/>
    <col min="1032" max="1032" width="5.140625" customWidth="1"/>
    <col min="1033" max="1033" width="5.7109375" customWidth="1"/>
    <col min="1034" max="1034" width="5.140625" customWidth="1"/>
    <col min="1035" max="1035" width="4" customWidth="1"/>
    <col min="1036" max="1036" width="4.7109375" customWidth="1"/>
    <col min="1037" max="1037" width="3.28515625" customWidth="1"/>
    <col min="1038" max="1038" width="3" customWidth="1"/>
    <col min="1039" max="1039" width="7.7109375" customWidth="1"/>
    <col min="1040" max="1040" width="7.85546875" customWidth="1"/>
    <col min="1041" max="1041" width="5.85546875" customWidth="1"/>
    <col min="1281" max="1281" width="7.28515625" customWidth="1"/>
    <col min="1282" max="1282" width="9.140625" customWidth="1"/>
    <col min="1283" max="1283" width="9.42578125" customWidth="1"/>
    <col min="1284" max="1284" width="9.85546875" customWidth="1"/>
    <col min="1285" max="1285" width="2.7109375" customWidth="1"/>
    <col min="1286" max="1286" width="5.140625" customWidth="1"/>
    <col min="1287" max="1287" width="5.42578125" customWidth="1"/>
    <col min="1288" max="1288" width="5.140625" customWidth="1"/>
    <col min="1289" max="1289" width="5.7109375" customWidth="1"/>
    <col min="1290" max="1290" width="5.140625" customWidth="1"/>
    <col min="1291" max="1291" width="4" customWidth="1"/>
    <col min="1292" max="1292" width="4.7109375" customWidth="1"/>
    <col min="1293" max="1293" width="3.28515625" customWidth="1"/>
    <col min="1294" max="1294" width="3" customWidth="1"/>
    <col min="1295" max="1295" width="7.7109375" customWidth="1"/>
    <col min="1296" max="1296" width="7.85546875" customWidth="1"/>
    <col min="1297" max="1297" width="5.85546875" customWidth="1"/>
    <col min="1537" max="1537" width="7.28515625" customWidth="1"/>
    <col min="1538" max="1538" width="9.140625" customWidth="1"/>
    <col min="1539" max="1539" width="9.42578125" customWidth="1"/>
    <col min="1540" max="1540" width="9.85546875" customWidth="1"/>
    <col min="1541" max="1541" width="2.7109375" customWidth="1"/>
    <col min="1542" max="1542" width="5.140625" customWidth="1"/>
    <col min="1543" max="1543" width="5.42578125" customWidth="1"/>
    <col min="1544" max="1544" width="5.140625" customWidth="1"/>
    <col min="1545" max="1545" width="5.7109375" customWidth="1"/>
    <col min="1546" max="1546" width="5.140625" customWidth="1"/>
    <col min="1547" max="1547" width="4" customWidth="1"/>
    <col min="1548" max="1548" width="4.7109375" customWidth="1"/>
    <col min="1549" max="1549" width="3.28515625" customWidth="1"/>
    <col min="1550" max="1550" width="3" customWidth="1"/>
    <col min="1551" max="1551" width="7.7109375" customWidth="1"/>
    <col min="1552" max="1552" width="7.85546875" customWidth="1"/>
    <col min="1553" max="1553" width="5.85546875" customWidth="1"/>
    <col min="1793" max="1793" width="7.28515625" customWidth="1"/>
    <col min="1794" max="1794" width="9.140625" customWidth="1"/>
    <col min="1795" max="1795" width="9.42578125" customWidth="1"/>
    <col min="1796" max="1796" width="9.85546875" customWidth="1"/>
    <col min="1797" max="1797" width="2.7109375" customWidth="1"/>
    <col min="1798" max="1798" width="5.140625" customWidth="1"/>
    <col min="1799" max="1799" width="5.42578125" customWidth="1"/>
    <col min="1800" max="1800" width="5.140625" customWidth="1"/>
    <col min="1801" max="1801" width="5.7109375" customWidth="1"/>
    <col min="1802" max="1802" width="5.140625" customWidth="1"/>
    <col min="1803" max="1803" width="4" customWidth="1"/>
    <col min="1804" max="1804" width="4.7109375" customWidth="1"/>
    <col min="1805" max="1805" width="3.28515625" customWidth="1"/>
    <col min="1806" max="1806" width="3" customWidth="1"/>
    <col min="1807" max="1807" width="7.7109375" customWidth="1"/>
    <col min="1808" max="1808" width="7.85546875" customWidth="1"/>
    <col min="1809" max="1809" width="5.85546875" customWidth="1"/>
    <col min="2049" max="2049" width="7.28515625" customWidth="1"/>
    <col min="2050" max="2050" width="9.140625" customWidth="1"/>
    <col min="2051" max="2051" width="9.42578125" customWidth="1"/>
    <col min="2052" max="2052" width="9.85546875" customWidth="1"/>
    <col min="2053" max="2053" width="2.7109375" customWidth="1"/>
    <col min="2054" max="2054" width="5.140625" customWidth="1"/>
    <col min="2055" max="2055" width="5.42578125" customWidth="1"/>
    <col min="2056" max="2056" width="5.140625" customWidth="1"/>
    <col min="2057" max="2057" width="5.7109375" customWidth="1"/>
    <col min="2058" max="2058" width="5.140625" customWidth="1"/>
    <col min="2059" max="2059" width="4" customWidth="1"/>
    <col min="2060" max="2060" width="4.7109375" customWidth="1"/>
    <col min="2061" max="2061" width="3.28515625" customWidth="1"/>
    <col min="2062" max="2062" width="3" customWidth="1"/>
    <col min="2063" max="2063" width="7.7109375" customWidth="1"/>
    <col min="2064" max="2064" width="7.85546875" customWidth="1"/>
    <col min="2065" max="2065" width="5.85546875" customWidth="1"/>
    <col min="2305" max="2305" width="7.28515625" customWidth="1"/>
    <col min="2306" max="2306" width="9.140625" customWidth="1"/>
    <col min="2307" max="2307" width="9.42578125" customWidth="1"/>
    <col min="2308" max="2308" width="9.85546875" customWidth="1"/>
    <col min="2309" max="2309" width="2.7109375" customWidth="1"/>
    <col min="2310" max="2310" width="5.140625" customWidth="1"/>
    <col min="2311" max="2311" width="5.42578125" customWidth="1"/>
    <col min="2312" max="2312" width="5.140625" customWidth="1"/>
    <col min="2313" max="2313" width="5.7109375" customWidth="1"/>
    <col min="2314" max="2314" width="5.140625" customWidth="1"/>
    <col min="2315" max="2315" width="4" customWidth="1"/>
    <col min="2316" max="2316" width="4.7109375" customWidth="1"/>
    <col min="2317" max="2317" width="3.28515625" customWidth="1"/>
    <col min="2318" max="2318" width="3" customWidth="1"/>
    <col min="2319" max="2319" width="7.7109375" customWidth="1"/>
    <col min="2320" max="2320" width="7.85546875" customWidth="1"/>
    <col min="2321" max="2321" width="5.85546875" customWidth="1"/>
    <col min="2561" max="2561" width="7.28515625" customWidth="1"/>
    <col min="2562" max="2562" width="9.140625" customWidth="1"/>
    <col min="2563" max="2563" width="9.42578125" customWidth="1"/>
    <col min="2564" max="2564" width="9.85546875" customWidth="1"/>
    <col min="2565" max="2565" width="2.7109375" customWidth="1"/>
    <col min="2566" max="2566" width="5.140625" customWidth="1"/>
    <col min="2567" max="2567" width="5.42578125" customWidth="1"/>
    <col min="2568" max="2568" width="5.140625" customWidth="1"/>
    <col min="2569" max="2569" width="5.7109375" customWidth="1"/>
    <col min="2570" max="2570" width="5.140625" customWidth="1"/>
    <col min="2571" max="2571" width="4" customWidth="1"/>
    <col min="2572" max="2572" width="4.7109375" customWidth="1"/>
    <col min="2573" max="2573" width="3.28515625" customWidth="1"/>
    <col min="2574" max="2574" width="3" customWidth="1"/>
    <col min="2575" max="2575" width="7.7109375" customWidth="1"/>
    <col min="2576" max="2576" width="7.85546875" customWidth="1"/>
    <col min="2577" max="2577" width="5.85546875" customWidth="1"/>
    <col min="2817" max="2817" width="7.28515625" customWidth="1"/>
    <col min="2818" max="2818" width="9.140625" customWidth="1"/>
    <col min="2819" max="2819" width="9.42578125" customWidth="1"/>
    <col min="2820" max="2820" width="9.85546875" customWidth="1"/>
    <col min="2821" max="2821" width="2.7109375" customWidth="1"/>
    <col min="2822" max="2822" width="5.140625" customWidth="1"/>
    <col min="2823" max="2823" width="5.42578125" customWidth="1"/>
    <col min="2824" max="2824" width="5.140625" customWidth="1"/>
    <col min="2825" max="2825" width="5.7109375" customWidth="1"/>
    <col min="2826" max="2826" width="5.140625" customWidth="1"/>
    <col min="2827" max="2827" width="4" customWidth="1"/>
    <col min="2828" max="2828" width="4.7109375" customWidth="1"/>
    <col min="2829" max="2829" width="3.28515625" customWidth="1"/>
    <col min="2830" max="2830" width="3" customWidth="1"/>
    <col min="2831" max="2831" width="7.7109375" customWidth="1"/>
    <col min="2832" max="2832" width="7.85546875" customWidth="1"/>
    <col min="2833" max="2833" width="5.85546875" customWidth="1"/>
    <col min="3073" max="3073" width="7.28515625" customWidth="1"/>
    <col min="3074" max="3074" width="9.140625" customWidth="1"/>
    <col min="3075" max="3075" width="9.42578125" customWidth="1"/>
    <col min="3076" max="3076" width="9.85546875" customWidth="1"/>
    <col min="3077" max="3077" width="2.7109375" customWidth="1"/>
    <col min="3078" max="3078" width="5.140625" customWidth="1"/>
    <col min="3079" max="3079" width="5.42578125" customWidth="1"/>
    <col min="3080" max="3080" width="5.140625" customWidth="1"/>
    <col min="3081" max="3081" width="5.7109375" customWidth="1"/>
    <col min="3082" max="3082" width="5.140625" customWidth="1"/>
    <col min="3083" max="3083" width="4" customWidth="1"/>
    <col min="3084" max="3084" width="4.7109375" customWidth="1"/>
    <col min="3085" max="3085" width="3.28515625" customWidth="1"/>
    <col min="3086" max="3086" width="3" customWidth="1"/>
    <col min="3087" max="3087" width="7.7109375" customWidth="1"/>
    <col min="3088" max="3088" width="7.85546875" customWidth="1"/>
    <col min="3089" max="3089" width="5.85546875" customWidth="1"/>
    <col min="3329" max="3329" width="7.28515625" customWidth="1"/>
    <col min="3330" max="3330" width="9.140625" customWidth="1"/>
    <col min="3331" max="3331" width="9.42578125" customWidth="1"/>
    <col min="3332" max="3332" width="9.85546875" customWidth="1"/>
    <col min="3333" max="3333" width="2.7109375" customWidth="1"/>
    <col min="3334" max="3334" width="5.140625" customWidth="1"/>
    <col min="3335" max="3335" width="5.42578125" customWidth="1"/>
    <col min="3336" max="3336" width="5.140625" customWidth="1"/>
    <col min="3337" max="3337" width="5.7109375" customWidth="1"/>
    <col min="3338" max="3338" width="5.140625" customWidth="1"/>
    <col min="3339" max="3339" width="4" customWidth="1"/>
    <col min="3340" max="3340" width="4.7109375" customWidth="1"/>
    <col min="3341" max="3341" width="3.28515625" customWidth="1"/>
    <col min="3342" max="3342" width="3" customWidth="1"/>
    <col min="3343" max="3343" width="7.7109375" customWidth="1"/>
    <col min="3344" max="3344" width="7.85546875" customWidth="1"/>
    <col min="3345" max="3345" width="5.85546875" customWidth="1"/>
    <col min="3585" max="3585" width="7.28515625" customWidth="1"/>
    <col min="3586" max="3586" width="9.140625" customWidth="1"/>
    <col min="3587" max="3587" width="9.42578125" customWidth="1"/>
    <col min="3588" max="3588" width="9.85546875" customWidth="1"/>
    <col min="3589" max="3589" width="2.7109375" customWidth="1"/>
    <col min="3590" max="3590" width="5.140625" customWidth="1"/>
    <col min="3591" max="3591" width="5.42578125" customWidth="1"/>
    <col min="3592" max="3592" width="5.140625" customWidth="1"/>
    <col min="3593" max="3593" width="5.7109375" customWidth="1"/>
    <col min="3594" max="3594" width="5.140625" customWidth="1"/>
    <col min="3595" max="3595" width="4" customWidth="1"/>
    <col min="3596" max="3596" width="4.7109375" customWidth="1"/>
    <col min="3597" max="3597" width="3.28515625" customWidth="1"/>
    <col min="3598" max="3598" width="3" customWidth="1"/>
    <col min="3599" max="3599" width="7.7109375" customWidth="1"/>
    <col min="3600" max="3600" width="7.85546875" customWidth="1"/>
    <col min="3601" max="3601" width="5.85546875" customWidth="1"/>
    <col min="3841" max="3841" width="7.28515625" customWidth="1"/>
    <col min="3842" max="3842" width="9.140625" customWidth="1"/>
    <col min="3843" max="3843" width="9.42578125" customWidth="1"/>
    <col min="3844" max="3844" width="9.85546875" customWidth="1"/>
    <col min="3845" max="3845" width="2.7109375" customWidth="1"/>
    <col min="3846" max="3846" width="5.140625" customWidth="1"/>
    <col min="3847" max="3847" width="5.42578125" customWidth="1"/>
    <col min="3848" max="3848" width="5.140625" customWidth="1"/>
    <col min="3849" max="3849" width="5.7109375" customWidth="1"/>
    <col min="3850" max="3850" width="5.140625" customWidth="1"/>
    <col min="3851" max="3851" width="4" customWidth="1"/>
    <col min="3852" max="3852" width="4.7109375" customWidth="1"/>
    <col min="3853" max="3853" width="3.28515625" customWidth="1"/>
    <col min="3854" max="3854" width="3" customWidth="1"/>
    <col min="3855" max="3855" width="7.7109375" customWidth="1"/>
    <col min="3856" max="3856" width="7.85546875" customWidth="1"/>
    <col min="3857" max="3857" width="5.85546875" customWidth="1"/>
    <col min="4097" max="4097" width="7.28515625" customWidth="1"/>
    <col min="4098" max="4098" width="9.140625" customWidth="1"/>
    <col min="4099" max="4099" width="9.42578125" customWidth="1"/>
    <col min="4100" max="4100" width="9.85546875" customWidth="1"/>
    <col min="4101" max="4101" width="2.7109375" customWidth="1"/>
    <col min="4102" max="4102" width="5.140625" customWidth="1"/>
    <col min="4103" max="4103" width="5.42578125" customWidth="1"/>
    <col min="4104" max="4104" width="5.140625" customWidth="1"/>
    <col min="4105" max="4105" width="5.7109375" customWidth="1"/>
    <col min="4106" max="4106" width="5.140625" customWidth="1"/>
    <col min="4107" max="4107" width="4" customWidth="1"/>
    <col min="4108" max="4108" width="4.7109375" customWidth="1"/>
    <col min="4109" max="4109" width="3.28515625" customWidth="1"/>
    <col min="4110" max="4110" width="3" customWidth="1"/>
    <col min="4111" max="4111" width="7.7109375" customWidth="1"/>
    <col min="4112" max="4112" width="7.85546875" customWidth="1"/>
    <col min="4113" max="4113" width="5.85546875" customWidth="1"/>
    <col min="4353" max="4353" width="7.28515625" customWidth="1"/>
    <col min="4354" max="4354" width="9.140625" customWidth="1"/>
    <col min="4355" max="4355" width="9.42578125" customWidth="1"/>
    <col min="4356" max="4356" width="9.85546875" customWidth="1"/>
    <col min="4357" max="4357" width="2.7109375" customWidth="1"/>
    <col min="4358" max="4358" width="5.140625" customWidth="1"/>
    <col min="4359" max="4359" width="5.42578125" customWidth="1"/>
    <col min="4360" max="4360" width="5.140625" customWidth="1"/>
    <col min="4361" max="4361" width="5.7109375" customWidth="1"/>
    <col min="4362" max="4362" width="5.140625" customWidth="1"/>
    <col min="4363" max="4363" width="4" customWidth="1"/>
    <col min="4364" max="4364" width="4.7109375" customWidth="1"/>
    <col min="4365" max="4365" width="3.28515625" customWidth="1"/>
    <col min="4366" max="4366" width="3" customWidth="1"/>
    <col min="4367" max="4367" width="7.7109375" customWidth="1"/>
    <col min="4368" max="4368" width="7.85546875" customWidth="1"/>
    <col min="4369" max="4369" width="5.85546875" customWidth="1"/>
    <col min="4609" max="4609" width="7.28515625" customWidth="1"/>
    <col min="4610" max="4610" width="9.140625" customWidth="1"/>
    <col min="4611" max="4611" width="9.42578125" customWidth="1"/>
    <col min="4612" max="4612" width="9.85546875" customWidth="1"/>
    <col min="4613" max="4613" width="2.7109375" customWidth="1"/>
    <col min="4614" max="4614" width="5.140625" customWidth="1"/>
    <col min="4615" max="4615" width="5.42578125" customWidth="1"/>
    <col min="4616" max="4616" width="5.140625" customWidth="1"/>
    <col min="4617" max="4617" width="5.7109375" customWidth="1"/>
    <col min="4618" max="4618" width="5.140625" customWidth="1"/>
    <col min="4619" max="4619" width="4" customWidth="1"/>
    <col min="4620" max="4620" width="4.7109375" customWidth="1"/>
    <col min="4621" max="4621" width="3.28515625" customWidth="1"/>
    <col min="4622" max="4622" width="3" customWidth="1"/>
    <col min="4623" max="4623" width="7.7109375" customWidth="1"/>
    <col min="4624" max="4624" width="7.85546875" customWidth="1"/>
    <col min="4625" max="4625" width="5.85546875" customWidth="1"/>
    <col min="4865" max="4865" width="7.28515625" customWidth="1"/>
    <col min="4866" max="4866" width="9.140625" customWidth="1"/>
    <col min="4867" max="4867" width="9.42578125" customWidth="1"/>
    <col min="4868" max="4868" width="9.85546875" customWidth="1"/>
    <col min="4869" max="4869" width="2.7109375" customWidth="1"/>
    <col min="4870" max="4870" width="5.140625" customWidth="1"/>
    <col min="4871" max="4871" width="5.42578125" customWidth="1"/>
    <col min="4872" max="4872" width="5.140625" customWidth="1"/>
    <col min="4873" max="4873" width="5.7109375" customWidth="1"/>
    <col min="4874" max="4874" width="5.140625" customWidth="1"/>
    <col min="4875" max="4875" width="4" customWidth="1"/>
    <col min="4876" max="4876" width="4.7109375" customWidth="1"/>
    <col min="4877" max="4877" width="3.28515625" customWidth="1"/>
    <col min="4878" max="4878" width="3" customWidth="1"/>
    <col min="4879" max="4879" width="7.7109375" customWidth="1"/>
    <col min="4880" max="4880" width="7.85546875" customWidth="1"/>
    <col min="4881" max="4881" width="5.85546875" customWidth="1"/>
    <col min="5121" max="5121" width="7.28515625" customWidth="1"/>
    <col min="5122" max="5122" width="9.140625" customWidth="1"/>
    <col min="5123" max="5123" width="9.42578125" customWidth="1"/>
    <col min="5124" max="5124" width="9.85546875" customWidth="1"/>
    <col min="5125" max="5125" width="2.7109375" customWidth="1"/>
    <col min="5126" max="5126" width="5.140625" customWidth="1"/>
    <col min="5127" max="5127" width="5.42578125" customWidth="1"/>
    <col min="5128" max="5128" width="5.140625" customWidth="1"/>
    <col min="5129" max="5129" width="5.7109375" customWidth="1"/>
    <col min="5130" max="5130" width="5.140625" customWidth="1"/>
    <col min="5131" max="5131" width="4" customWidth="1"/>
    <col min="5132" max="5132" width="4.7109375" customWidth="1"/>
    <col min="5133" max="5133" width="3.28515625" customWidth="1"/>
    <col min="5134" max="5134" width="3" customWidth="1"/>
    <col min="5135" max="5135" width="7.7109375" customWidth="1"/>
    <col min="5136" max="5136" width="7.85546875" customWidth="1"/>
    <col min="5137" max="5137" width="5.85546875" customWidth="1"/>
    <col min="5377" max="5377" width="7.28515625" customWidth="1"/>
    <col min="5378" max="5378" width="9.140625" customWidth="1"/>
    <col min="5379" max="5379" width="9.42578125" customWidth="1"/>
    <col min="5380" max="5380" width="9.85546875" customWidth="1"/>
    <col min="5381" max="5381" width="2.7109375" customWidth="1"/>
    <col min="5382" max="5382" width="5.140625" customWidth="1"/>
    <col min="5383" max="5383" width="5.42578125" customWidth="1"/>
    <col min="5384" max="5384" width="5.140625" customWidth="1"/>
    <col min="5385" max="5385" width="5.7109375" customWidth="1"/>
    <col min="5386" max="5386" width="5.140625" customWidth="1"/>
    <col min="5387" max="5387" width="4" customWidth="1"/>
    <col min="5388" max="5388" width="4.7109375" customWidth="1"/>
    <col min="5389" max="5389" width="3.28515625" customWidth="1"/>
    <col min="5390" max="5390" width="3" customWidth="1"/>
    <col min="5391" max="5391" width="7.7109375" customWidth="1"/>
    <col min="5392" max="5392" width="7.85546875" customWidth="1"/>
    <col min="5393" max="5393" width="5.85546875" customWidth="1"/>
    <col min="5633" max="5633" width="7.28515625" customWidth="1"/>
    <col min="5634" max="5634" width="9.140625" customWidth="1"/>
    <col min="5635" max="5635" width="9.42578125" customWidth="1"/>
    <col min="5636" max="5636" width="9.85546875" customWidth="1"/>
    <col min="5637" max="5637" width="2.7109375" customWidth="1"/>
    <col min="5638" max="5638" width="5.140625" customWidth="1"/>
    <col min="5639" max="5639" width="5.42578125" customWidth="1"/>
    <col min="5640" max="5640" width="5.140625" customWidth="1"/>
    <col min="5641" max="5641" width="5.7109375" customWidth="1"/>
    <col min="5642" max="5642" width="5.140625" customWidth="1"/>
    <col min="5643" max="5643" width="4" customWidth="1"/>
    <col min="5644" max="5644" width="4.7109375" customWidth="1"/>
    <col min="5645" max="5645" width="3.28515625" customWidth="1"/>
    <col min="5646" max="5646" width="3" customWidth="1"/>
    <col min="5647" max="5647" width="7.7109375" customWidth="1"/>
    <col min="5648" max="5648" width="7.85546875" customWidth="1"/>
    <col min="5649" max="5649" width="5.85546875" customWidth="1"/>
    <col min="5889" max="5889" width="7.28515625" customWidth="1"/>
    <col min="5890" max="5890" width="9.140625" customWidth="1"/>
    <col min="5891" max="5891" width="9.42578125" customWidth="1"/>
    <col min="5892" max="5892" width="9.85546875" customWidth="1"/>
    <col min="5893" max="5893" width="2.7109375" customWidth="1"/>
    <col min="5894" max="5894" width="5.140625" customWidth="1"/>
    <col min="5895" max="5895" width="5.42578125" customWidth="1"/>
    <col min="5896" max="5896" width="5.140625" customWidth="1"/>
    <col min="5897" max="5897" width="5.7109375" customWidth="1"/>
    <col min="5898" max="5898" width="5.140625" customWidth="1"/>
    <col min="5899" max="5899" width="4" customWidth="1"/>
    <col min="5900" max="5900" width="4.7109375" customWidth="1"/>
    <col min="5901" max="5901" width="3.28515625" customWidth="1"/>
    <col min="5902" max="5902" width="3" customWidth="1"/>
    <col min="5903" max="5903" width="7.7109375" customWidth="1"/>
    <col min="5904" max="5904" width="7.85546875" customWidth="1"/>
    <col min="5905" max="5905" width="5.85546875" customWidth="1"/>
    <col min="6145" max="6145" width="7.28515625" customWidth="1"/>
    <col min="6146" max="6146" width="9.140625" customWidth="1"/>
    <col min="6147" max="6147" width="9.42578125" customWidth="1"/>
    <col min="6148" max="6148" width="9.85546875" customWidth="1"/>
    <col min="6149" max="6149" width="2.7109375" customWidth="1"/>
    <col min="6150" max="6150" width="5.140625" customWidth="1"/>
    <col min="6151" max="6151" width="5.42578125" customWidth="1"/>
    <col min="6152" max="6152" width="5.140625" customWidth="1"/>
    <col min="6153" max="6153" width="5.7109375" customWidth="1"/>
    <col min="6154" max="6154" width="5.140625" customWidth="1"/>
    <col min="6155" max="6155" width="4" customWidth="1"/>
    <col min="6156" max="6156" width="4.7109375" customWidth="1"/>
    <col min="6157" max="6157" width="3.28515625" customWidth="1"/>
    <col min="6158" max="6158" width="3" customWidth="1"/>
    <col min="6159" max="6159" width="7.7109375" customWidth="1"/>
    <col min="6160" max="6160" width="7.85546875" customWidth="1"/>
    <col min="6161" max="6161" width="5.85546875" customWidth="1"/>
    <col min="6401" max="6401" width="7.28515625" customWidth="1"/>
    <col min="6402" max="6402" width="9.140625" customWidth="1"/>
    <col min="6403" max="6403" width="9.42578125" customWidth="1"/>
    <col min="6404" max="6404" width="9.85546875" customWidth="1"/>
    <col min="6405" max="6405" width="2.7109375" customWidth="1"/>
    <col min="6406" max="6406" width="5.140625" customWidth="1"/>
    <col min="6407" max="6407" width="5.42578125" customWidth="1"/>
    <col min="6408" max="6408" width="5.140625" customWidth="1"/>
    <col min="6409" max="6409" width="5.7109375" customWidth="1"/>
    <col min="6410" max="6410" width="5.140625" customWidth="1"/>
    <col min="6411" max="6411" width="4" customWidth="1"/>
    <col min="6412" max="6412" width="4.7109375" customWidth="1"/>
    <col min="6413" max="6413" width="3.28515625" customWidth="1"/>
    <col min="6414" max="6414" width="3" customWidth="1"/>
    <col min="6415" max="6415" width="7.7109375" customWidth="1"/>
    <col min="6416" max="6416" width="7.85546875" customWidth="1"/>
    <col min="6417" max="6417" width="5.85546875" customWidth="1"/>
    <col min="6657" max="6657" width="7.28515625" customWidth="1"/>
    <col min="6658" max="6658" width="9.140625" customWidth="1"/>
    <col min="6659" max="6659" width="9.42578125" customWidth="1"/>
    <col min="6660" max="6660" width="9.85546875" customWidth="1"/>
    <col min="6661" max="6661" width="2.7109375" customWidth="1"/>
    <col min="6662" max="6662" width="5.140625" customWidth="1"/>
    <col min="6663" max="6663" width="5.42578125" customWidth="1"/>
    <col min="6664" max="6664" width="5.140625" customWidth="1"/>
    <col min="6665" max="6665" width="5.7109375" customWidth="1"/>
    <col min="6666" max="6666" width="5.140625" customWidth="1"/>
    <col min="6667" max="6667" width="4" customWidth="1"/>
    <col min="6668" max="6668" width="4.7109375" customWidth="1"/>
    <col min="6669" max="6669" width="3.28515625" customWidth="1"/>
    <col min="6670" max="6670" width="3" customWidth="1"/>
    <col min="6671" max="6671" width="7.7109375" customWidth="1"/>
    <col min="6672" max="6672" width="7.85546875" customWidth="1"/>
    <col min="6673" max="6673" width="5.85546875" customWidth="1"/>
    <col min="6913" max="6913" width="7.28515625" customWidth="1"/>
    <col min="6914" max="6914" width="9.140625" customWidth="1"/>
    <col min="6915" max="6915" width="9.42578125" customWidth="1"/>
    <col min="6916" max="6916" width="9.85546875" customWidth="1"/>
    <col min="6917" max="6917" width="2.7109375" customWidth="1"/>
    <col min="6918" max="6918" width="5.140625" customWidth="1"/>
    <col min="6919" max="6919" width="5.42578125" customWidth="1"/>
    <col min="6920" max="6920" width="5.140625" customWidth="1"/>
    <col min="6921" max="6921" width="5.7109375" customWidth="1"/>
    <col min="6922" max="6922" width="5.140625" customWidth="1"/>
    <col min="6923" max="6923" width="4" customWidth="1"/>
    <col min="6924" max="6924" width="4.7109375" customWidth="1"/>
    <col min="6925" max="6925" width="3.28515625" customWidth="1"/>
    <col min="6926" max="6926" width="3" customWidth="1"/>
    <col min="6927" max="6927" width="7.7109375" customWidth="1"/>
    <col min="6928" max="6928" width="7.85546875" customWidth="1"/>
    <col min="6929" max="6929" width="5.85546875" customWidth="1"/>
    <col min="7169" max="7169" width="7.28515625" customWidth="1"/>
    <col min="7170" max="7170" width="9.140625" customWidth="1"/>
    <col min="7171" max="7171" width="9.42578125" customWidth="1"/>
    <col min="7172" max="7172" width="9.85546875" customWidth="1"/>
    <col min="7173" max="7173" width="2.7109375" customWidth="1"/>
    <col min="7174" max="7174" width="5.140625" customWidth="1"/>
    <col min="7175" max="7175" width="5.42578125" customWidth="1"/>
    <col min="7176" max="7176" width="5.140625" customWidth="1"/>
    <col min="7177" max="7177" width="5.7109375" customWidth="1"/>
    <col min="7178" max="7178" width="5.140625" customWidth="1"/>
    <col min="7179" max="7179" width="4" customWidth="1"/>
    <col min="7180" max="7180" width="4.7109375" customWidth="1"/>
    <col min="7181" max="7181" width="3.28515625" customWidth="1"/>
    <col min="7182" max="7182" width="3" customWidth="1"/>
    <col min="7183" max="7183" width="7.7109375" customWidth="1"/>
    <col min="7184" max="7184" width="7.85546875" customWidth="1"/>
    <col min="7185" max="7185" width="5.85546875" customWidth="1"/>
    <col min="7425" max="7425" width="7.28515625" customWidth="1"/>
    <col min="7426" max="7426" width="9.140625" customWidth="1"/>
    <col min="7427" max="7427" width="9.42578125" customWidth="1"/>
    <col min="7428" max="7428" width="9.85546875" customWidth="1"/>
    <col min="7429" max="7429" width="2.7109375" customWidth="1"/>
    <col min="7430" max="7430" width="5.140625" customWidth="1"/>
    <col min="7431" max="7431" width="5.42578125" customWidth="1"/>
    <col min="7432" max="7432" width="5.140625" customWidth="1"/>
    <col min="7433" max="7433" width="5.7109375" customWidth="1"/>
    <col min="7434" max="7434" width="5.140625" customWidth="1"/>
    <col min="7435" max="7435" width="4" customWidth="1"/>
    <col min="7436" max="7436" width="4.7109375" customWidth="1"/>
    <col min="7437" max="7437" width="3.28515625" customWidth="1"/>
    <col min="7438" max="7438" width="3" customWidth="1"/>
    <col min="7439" max="7439" width="7.7109375" customWidth="1"/>
    <col min="7440" max="7440" width="7.85546875" customWidth="1"/>
    <col min="7441" max="7441" width="5.85546875" customWidth="1"/>
    <col min="7681" max="7681" width="7.28515625" customWidth="1"/>
    <col min="7682" max="7682" width="9.140625" customWidth="1"/>
    <col min="7683" max="7683" width="9.42578125" customWidth="1"/>
    <col min="7684" max="7684" width="9.85546875" customWidth="1"/>
    <col min="7685" max="7685" width="2.7109375" customWidth="1"/>
    <col min="7686" max="7686" width="5.140625" customWidth="1"/>
    <col min="7687" max="7687" width="5.42578125" customWidth="1"/>
    <col min="7688" max="7688" width="5.140625" customWidth="1"/>
    <col min="7689" max="7689" width="5.7109375" customWidth="1"/>
    <col min="7690" max="7690" width="5.140625" customWidth="1"/>
    <col min="7691" max="7691" width="4" customWidth="1"/>
    <col min="7692" max="7692" width="4.7109375" customWidth="1"/>
    <col min="7693" max="7693" width="3.28515625" customWidth="1"/>
    <col min="7694" max="7694" width="3" customWidth="1"/>
    <col min="7695" max="7695" width="7.7109375" customWidth="1"/>
    <col min="7696" max="7696" width="7.85546875" customWidth="1"/>
    <col min="7697" max="7697" width="5.85546875" customWidth="1"/>
    <col min="7937" max="7937" width="7.28515625" customWidth="1"/>
    <col min="7938" max="7938" width="9.140625" customWidth="1"/>
    <col min="7939" max="7939" width="9.42578125" customWidth="1"/>
    <col min="7940" max="7940" width="9.85546875" customWidth="1"/>
    <col min="7941" max="7941" width="2.7109375" customWidth="1"/>
    <col min="7942" max="7942" width="5.140625" customWidth="1"/>
    <col min="7943" max="7943" width="5.42578125" customWidth="1"/>
    <col min="7944" max="7944" width="5.140625" customWidth="1"/>
    <col min="7945" max="7945" width="5.7109375" customWidth="1"/>
    <col min="7946" max="7946" width="5.140625" customWidth="1"/>
    <col min="7947" max="7947" width="4" customWidth="1"/>
    <col min="7948" max="7948" width="4.7109375" customWidth="1"/>
    <col min="7949" max="7949" width="3.28515625" customWidth="1"/>
    <col min="7950" max="7950" width="3" customWidth="1"/>
    <col min="7951" max="7951" width="7.7109375" customWidth="1"/>
    <col min="7952" max="7952" width="7.85546875" customWidth="1"/>
    <col min="7953" max="7953" width="5.85546875" customWidth="1"/>
    <col min="8193" max="8193" width="7.28515625" customWidth="1"/>
    <col min="8194" max="8194" width="9.140625" customWidth="1"/>
    <col min="8195" max="8195" width="9.42578125" customWidth="1"/>
    <col min="8196" max="8196" width="9.85546875" customWidth="1"/>
    <col min="8197" max="8197" width="2.7109375" customWidth="1"/>
    <col min="8198" max="8198" width="5.140625" customWidth="1"/>
    <col min="8199" max="8199" width="5.42578125" customWidth="1"/>
    <col min="8200" max="8200" width="5.140625" customWidth="1"/>
    <col min="8201" max="8201" width="5.7109375" customWidth="1"/>
    <col min="8202" max="8202" width="5.140625" customWidth="1"/>
    <col min="8203" max="8203" width="4" customWidth="1"/>
    <col min="8204" max="8204" width="4.7109375" customWidth="1"/>
    <col min="8205" max="8205" width="3.28515625" customWidth="1"/>
    <col min="8206" max="8206" width="3" customWidth="1"/>
    <col min="8207" max="8207" width="7.7109375" customWidth="1"/>
    <col min="8208" max="8208" width="7.85546875" customWidth="1"/>
    <col min="8209" max="8209" width="5.85546875" customWidth="1"/>
    <col min="8449" max="8449" width="7.28515625" customWidth="1"/>
    <col min="8450" max="8450" width="9.140625" customWidth="1"/>
    <col min="8451" max="8451" width="9.42578125" customWidth="1"/>
    <col min="8452" max="8452" width="9.85546875" customWidth="1"/>
    <col min="8453" max="8453" width="2.7109375" customWidth="1"/>
    <col min="8454" max="8454" width="5.140625" customWidth="1"/>
    <col min="8455" max="8455" width="5.42578125" customWidth="1"/>
    <col min="8456" max="8456" width="5.140625" customWidth="1"/>
    <col min="8457" max="8457" width="5.7109375" customWidth="1"/>
    <col min="8458" max="8458" width="5.140625" customWidth="1"/>
    <col min="8459" max="8459" width="4" customWidth="1"/>
    <col min="8460" max="8460" width="4.7109375" customWidth="1"/>
    <col min="8461" max="8461" width="3.28515625" customWidth="1"/>
    <col min="8462" max="8462" width="3" customWidth="1"/>
    <col min="8463" max="8463" width="7.7109375" customWidth="1"/>
    <col min="8464" max="8464" width="7.85546875" customWidth="1"/>
    <col min="8465" max="8465" width="5.85546875" customWidth="1"/>
    <col min="8705" max="8705" width="7.28515625" customWidth="1"/>
    <col min="8706" max="8706" width="9.140625" customWidth="1"/>
    <col min="8707" max="8707" width="9.42578125" customWidth="1"/>
    <col min="8708" max="8708" width="9.85546875" customWidth="1"/>
    <col min="8709" max="8709" width="2.7109375" customWidth="1"/>
    <col min="8710" max="8710" width="5.140625" customWidth="1"/>
    <col min="8711" max="8711" width="5.42578125" customWidth="1"/>
    <col min="8712" max="8712" width="5.140625" customWidth="1"/>
    <col min="8713" max="8713" width="5.7109375" customWidth="1"/>
    <col min="8714" max="8714" width="5.140625" customWidth="1"/>
    <col min="8715" max="8715" width="4" customWidth="1"/>
    <col min="8716" max="8716" width="4.7109375" customWidth="1"/>
    <col min="8717" max="8717" width="3.28515625" customWidth="1"/>
    <col min="8718" max="8718" width="3" customWidth="1"/>
    <col min="8719" max="8719" width="7.7109375" customWidth="1"/>
    <col min="8720" max="8720" width="7.85546875" customWidth="1"/>
    <col min="8721" max="8721" width="5.85546875" customWidth="1"/>
    <col min="8961" max="8961" width="7.28515625" customWidth="1"/>
    <col min="8962" max="8962" width="9.140625" customWidth="1"/>
    <col min="8963" max="8963" width="9.42578125" customWidth="1"/>
    <col min="8964" max="8964" width="9.85546875" customWidth="1"/>
    <col min="8965" max="8965" width="2.7109375" customWidth="1"/>
    <col min="8966" max="8966" width="5.140625" customWidth="1"/>
    <col min="8967" max="8967" width="5.42578125" customWidth="1"/>
    <col min="8968" max="8968" width="5.140625" customWidth="1"/>
    <col min="8969" max="8969" width="5.7109375" customWidth="1"/>
    <col min="8970" max="8970" width="5.140625" customWidth="1"/>
    <col min="8971" max="8971" width="4" customWidth="1"/>
    <col min="8972" max="8972" width="4.7109375" customWidth="1"/>
    <col min="8973" max="8973" width="3.28515625" customWidth="1"/>
    <col min="8974" max="8974" width="3" customWidth="1"/>
    <col min="8975" max="8975" width="7.7109375" customWidth="1"/>
    <col min="8976" max="8976" width="7.85546875" customWidth="1"/>
    <col min="8977" max="8977" width="5.85546875" customWidth="1"/>
    <col min="9217" max="9217" width="7.28515625" customWidth="1"/>
    <col min="9218" max="9218" width="9.140625" customWidth="1"/>
    <col min="9219" max="9219" width="9.42578125" customWidth="1"/>
    <col min="9220" max="9220" width="9.85546875" customWidth="1"/>
    <col min="9221" max="9221" width="2.7109375" customWidth="1"/>
    <col min="9222" max="9222" width="5.140625" customWidth="1"/>
    <col min="9223" max="9223" width="5.42578125" customWidth="1"/>
    <col min="9224" max="9224" width="5.140625" customWidth="1"/>
    <col min="9225" max="9225" width="5.7109375" customWidth="1"/>
    <col min="9226" max="9226" width="5.140625" customWidth="1"/>
    <col min="9227" max="9227" width="4" customWidth="1"/>
    <col min="9228" max="9228" width="4.7109375" customWidth="1"/>
    <col min="9229" max="9229" width="3.28515625" customWidth="1"/>
    <col min="9230" max="9230" width="3" customWidth="1"/>
    <col min="9231" max="9231" width="7.7109375" customWidth="1"/>
    <col min="9232" max="9232" width="7.85546875" customWidth="1"/>
    <col min="9233" max="9233" width="5.85546875" customWidth="1"/>
    <col min="9473" max="9473" width="7.28515625" customWidth="1"/>
    <col min="9474" max="9474" width="9.140625" customWidth="1"/>
    <col min="9475" max="9475" width="9.42578125" customWidth="1"/>
    <col min="9476" max="9476" width="9.85546875" customWidth="1"/>
    <col min="9477" max="9477" width="2.7109375" customWidth="1"/>
    <col min="9478" max="9478" width="5.140625" customWidth="1"/>
    <col min="9479" max="9479" width="5.42578125" customWidth="1"/>
    <col min="9480" max="9480" width="5.140625" customWidth="1"/>
    <col min="9481" max="9481" width="5.7109375" customWidth="1"/>
    <col min="9482" max="9482" width="5.140625" customWidth="1"/>
    <col min="9483" max="9483" width="4" customWidth="1"/>
    <col min="9484" max="9484" width="4.7109375" customWidth="1"/>
    <col min="9485" max="9485" width="3.28515625" customWidth="1"/>
    <col min="9486" max="9486" width="3" customWidth="1"/>
    <col min="9487" max="9487" width="7.7109375" customWidth="1"/>
    <col min="9488" max="9488" width="7.85546875" customWidth="1"/>
    <col min="9489" max="9489" width="5.85546875" customWidth="1"/>
    <col min="9729" max="9729" width="7.28515625" customWidth="1"/>
    <col min="9730" max="9730" width="9.140625" customWidth="1"/>
    <col min="9731" max="9731" width="9.42578125" customWidth="1"/>
    <col min="9732" max="9732" width="9.85546875" customWidth="1"/>
    <col min="9733" max="9733" width="2.7109375" customWidth="1"/>
    <col min="9734" max="9734" width="5.140625" customWidth="1"/>
    <col min="9735" max="9735" width="5.42578125" customWidth="1"/>
    <col min="9736" max="9736" width="5.140625" customWidth="1"/>
    <col min="9737" max="9737" width="5.7109375" customWidth="1"/>
    <col min="9738" max="9738" width="5.140625" customWidth="1"/>
    <col min="9739" max="9739" width="4" customWidth="1"/>
    <col min="9740" max="9740" width="4.7109375" customWidth="1"/>
    <col min="9741" max="9741" width="3.28515625" customWidth="1"/>
    <col min="9742" max="9742" width="3" customWidth="1"/>
    <col min="9743" max="9743" width="7.7109375" customWidth="1"/>
    <col min="9744" max="9744" width="7.85546875" customWidth="1"/>
    <col min="9745" max="9745" width="5.85546875" customWidth="1"/>
    <col min="9985" max="9985" width="7.28515625" customWidth="1"/>
    <col min="9986" max="9986" width="9.140625" customWidth="1"/>
    <col min="9987" max="9987" width="9.42578125" customWidth="1"/>
    <col min="9988" max="9988" width="9.85546875" customWidth="1"/>
    <col min="9989" max="9989" width="2.7109375" customWidth="1"/>
    <col min="9990" max="9990" width="5.140625" customWidth="1"/>
    <col min="9991" max="9991" width="5.42578125" customWidth="1"/>
    <col min="9992" max="9992" width="5.140625" customWidth="1"/>
    <col min="9993" max="9993" width="5.7109375" customWidth="1"/>
    <col min="9994" max="9994" width="5.140625" customWidth="1"/>
    <col min="9995" max="9995" width="4" customWidth="1"/>
    <col min="9996" max="9996" width="4.7109375" customWidth="1"/>
    <col min="9997" max="9997" width="3.28515625" customWidth="1"/>
    <col min="9998" max="9998" width="3" customWidth="1"/>
    <col min="9999" max="9999" width="7.7109375" customWidth="1"/>
    <col min="10000" max="10000" width="7.85546875" customWidth="1"/>
    <col min="10001" max="10001" width="5.85546875" customWidth="1"/>
    <col min="10241" max="10241" width="7.28515625" customWidth="1"/>
    <col min="10242" max="10242" width="9.140625" customWidth="1"/>
    <col min="10243" max="10243" width="9.42578125" customWidth="1"/>
    <col min="10244" max="10244" width="9.85546875" customWidth="1"/>
    <col min="10245" max="10245" width="2.7109375" customWidth="1"/>
    <col min="10246" max="10246" width="5.140625" customWidth="1"/>
    <col min="10247" max="10247" width="5.42578125" customWidth="1"/>
    <col min="10248" max="10248" width="5.140625" customWidth="1"/>
    <col min="10249" max="10249" width="5.7109375" customWidth="1"/>
    <col min="10250" max="10250" width="5.140625" customWidth="1"/>
    <col min="10251" max="10251" width="4" customWidth="1"/>
    <col min="10252" max="10252" width="4.7109375" customWidth="1"/>
    <col min="10253" max="10253" width="3.28515625" customWidth="1"/>
    <col min="10254" max="10254" width="3" customWidth="1"/>
    <col min="10255" max="10255" width="7.7109375" customWidth="1"/>
    <col min="10256" max="10256" width="7.85546875" customWidth="1"/>
    <col min="10257" max="10257" width="5.85546875" customWidth="1"/>
    <col min="10497" max="10497" width="7.28515625" customWidth="1"/>
    <col min="10498" max="10498" width="9.140625" customWidth="1"/>
    <col min="10499" max="10499" width="9.42578125" customWidth="1"/>
    <col min="10500" max="10500" width="9.85546875" customWidth="1"/>
    <col min="10501" max="10501" width="2.7109375" customWidth="1"/>
    <col min="10502" max="10502" width="5.140625" customWidth="1"/>
    <col min="10503" max="10503" width="5.42578125" customWidth="1"/>
    <col min="10504" max="10504" width="5.140625" customWidth="1"/>
    <col min="10505" max="10505" width="5.7109375" customWidth="1"/>
    <col min="10506" max="10506" width="5.140625" customWidth="1"/>
    <col min="10507" max="10507" width="4" customWidth="1"/>
    <col min="10508" max="10508" width="4.7109375" customWidth="1"/>
    <col min="10509" max="10509" width="3.28515625" customWidth="1"/>
    <col min="10510" max="10510" width="3" customWidth="1"/>
    <col min="10511" max="10511" width="7.7109375" customWidth="1"/>
    <col min="10512" max="10512" width="7.85546875" customWidth="1"/>
    <col min="10513" max="10513" width="5.85546875" customWidth="1"/>
    <col min="10753" max="10753" width="7.28515625" customWidth="1"/>
    <col min="10754" max="10754" width="9.140625" customWidth="1"/>
    <col min="10755" max="10755" width="9.42578125" customWidth="1"/>
    <col min="10756" max="10756" width="9.85546875" customWidth="1"/>
    <col min="10757" max="10757" width="2.7109375" customWidth="1"/>
    <col min="10758" max="10758" width="5.140625" customWidth="1"/>
    <col min="10759" max="10759" width="5.42578125" customWidth="1"/>
    <col min="10760" max="10760" width="5.140625" customWidth="1"/>
    <col min="10761" max="10761" width="5.7109375" customWidth="1"/>
    <col min="10762" max="10762" width="5.140625" customWidth="1"/>
    <col min="10763" max="10763" width="4" customWidth="1"/>
    <col min="10764" max="10764" width="4.7109375" customWidth="1"/>
    <col min="10765" max="10765" width="3.28515625" customWidth="1"/>
    <col min="10766" max="10766" width="3" customWidth="1"/>
    <col min="10767" max="10767" width="7.7109375" customWidth="1"/>
    <col min="10768" max="10768" width="7.85546875" customWidth="1"/>
    <col min="10769" max="10769" width="5.85546875" customWidth="1"/>
    <col min="11009" max="11009" width="7.28515625" customWidth="1"/>
    <col min="11010" max="11010" width="9.140625" customWidth="1"/>
    <col min="11011" max="11011" width="9.42578125" customWidth="1"/>
    <col min="11012" max="11012" width="9.85546875" customWidth="1"/>
    <col min="11013" max="11013" width="2.7109375" customWidth="1"/>
    <col min="11014" max="11014" width="5.140625" customWidth="1"/>
    <col min="11015" max="11015" width="5.42578125" customWidth="1"/>
    <col min="11016" max="11016" width="5.140625" customWidth="1"/>
    <col min="11017" max="11017" width="5.7109375" customWidth="1"/>
    <col min="11018" max="11018" width="5.140625" customWidth="1"/>
    <col min="11019" max="11019" width="4" customWidth="1"/>
    <col min="11020" max="11020" width="4.7109375" customWidth="1"/>
    <col min="11021" max="11021" width="3.28515625" customWidth="1"/>
    <col min="11022" max="11022" width="3" customWidth="1"/>
    <col min="11023" max="11023" width="7.7109375" customWidth="1"/>
    <col min="11024" max="11024" width="7.85546875" customWidth="1"/>
    <col min="11025" max="11025" width="5.85546875" customWidth="1"/>
    <col min="11265" max="11265" width="7.28515625" customWidth="1"/>
    <col min="11266" max="11266" width="9.140625" customWidth="1"/>
    <col min="11267" max="11267" width="9.42578125" customWidth="1"/>
    <col min="11268" max="11268" width="9.85546875" customWidth="1"/>
    <col min="11269" max="11269" width="2.7109375" customWidth="1"/>
    <col min="11270" max="11270" width="5.140625" customWidth="1"/>
    <col min="11271" max="11271" width="5.42578125" customWidth="1"/>
    <col min="11272" max="11272" width="5.140625" customWidth="1"/>
    <col min="11273" max="11273" width="5.7109375" customWidth="1"/>
    <col min="11274" max="11274" width="5.140625" customWidth="1"/>
    <col min="11275" max="11275" width="4" customWidth="1"/>
    <col min="11276" max="11276" width="4.7109375" customWidth="1"/>
    <col min="11277" max="11277" width="3.28515625" customWidth="1"/>
    <col min="11278" max="11278" width="3" customWidth="1"/>
    <col min="11279" max="11279" width="7.7109375" customWidth="1"/>
    <col min="11280" max="11280" width="7.85546875" customWidth="1"/>
    <col min="11281" max="11281" width="5.85546875" customWidth="1"/>
    <col min="11521" max="11521" width="7.28515625" customWidth="1"/>
    <col min="11522" max="11522" width="9.140625" customWidth="1"/>
    <col min="11523" max="11523" width="9.42578125" customWidth="1"/>
    <col min="11524" max="11524" width="9.85546875" customWidth="1"/>
    <col min="11525" max="11525" width="2.7109375" customWidth="1"/>
    <col min="11526" max="11526" width="5.140625" customWidth="1"/>
    <col min="11527" max="11527" width="5.42578125" customWidth="1"/>
    <col min="11528" max="11528" width="5.140625" customWidth="1"/>
    <col min="11529" max="11529" width="5.7109375" customWidth="1"/>
    <col min="11530" max="11530" width="5.140625" customWidth="1"/>
    <col min="11531" max="11531" width="4" customWidth="1"/>
    <col min="11532" max="11532" width="4.7109375" customWidth="1"/>
    <col min="11533" max="11533" width="3.28515625" customWidth="1"/>
    <col min="11534" max="11534" width="3" customWidth="1"/>
    <col min="11535" max="11535" width="7.7109375" customWidth="1"/>
    <col min="11536" max="11536" width="7.85546875" customWidth="1"/>
    <col min="11537" max="11537" width="5.85546875" customWidth="1"/>
    <col min="11777" max="11777" width="7.28515625" customWidth="1"/>
    <col min="11778" max="11778" width="9.140625" customWidth="1"/>
    <col min="11779" max="11779" width="9.42578125" customWidth="1"/>
    <col min="11780" max="11780" width="9.85546875" customWidth="1"/>
    <col min="11781" max="11781" width="2.7109375" customWidth="1"/>
    <col min="11782" max="11782" width="5.140625" customWidth="1"/>
    <col min="11783" max="11783" width="5.42578125" customWidth="1"/>
    <col min="11784" max="11784" width="5.140625" customWidth="1"/>
    <col min="11785" max="11785" width="5.7109375" customWidth="1"/>
    <col min="11786" max="11786" width="5.140625" customWidth="1"/>
    <col min="11787" max="11787" width="4" customWidth="1"/>
    <col min="11788" max="11788" width="4.7109375" customWidth="1"/>
    <col min="11789" max="11789" width="3.28515625" customWidth="1"/>
    <col min="11790" max="11790" width="3" customWidth="1"/>
    <col min="11791" max="11791" width="7.7109375" customWidth="1"/>
    <col min="11792" max="11792" width="7.85546875" customWidth="1"/>
    <col min="11793" max="11793" width="5.85546875" customWidth="1"/>
    <col min="12033" max="12033" width="7.28515625" customWidth="1"/>
    <col min="12034" max="12034" width="9.140625" customWidth="1"/>
    <col min="12035" max="12035" width="9.42578125" customWidth="1"/>
    <col min="12036" max="12036" width="9.85546875" customWidth="1"/>
    <col min="12037" max="12037" width="2.7109375" customWidth="1"/>
    <col min="12038" max="12038" width="5.140625" customWidth="1"/>
    <col min="12039" max="12039" width="5.42578125" customWidth="1"/>
    <col min="12040" max="12040" width="5.140625" customWidth="1"/>
    <col min="12041" max="12041" width="5.7109375" customWidth="1"/>
    <col min="12042" max="12042" width="5.140625" customWidth="1"/>
    <col min="12043" max="12043" width="4" customWidth="1"/>
    <col min="12044" max="12044" width="4.7109375" customWidth="1"/>
    <col min="12045" max="12045" width="3.28515625" customWidth="1"/>
    <col min="12046" max="12046" width="3" customWidth="1"/>
    <col min="12047" max="12047" width="7.7109375" customWidth="1"/>
    <col min="12048" max="12048" width="7.85546875" customWidth="1"/>
    <col min="12049" max="12049" width="5.85546875" customWidth="1"/>
    <col min="12289" max="12289" width="7.28515625" customWidth="1"/>
    <col min="12290" max="12290" width="9.140625" customWidth="1"/>
    <col min="12291" max="12291" width="9.42578125" customWidth="1"/>
    <col min="12292" max="12292" width="9.85546875" customWidth="1"/>
    <col min="12293" max="12293" width="2.7109375" customWidth="1"/>
    <col min="12294" max="12294" width="5.140625" customWidth="1"/>
    <col min="12295" max="12295" width="5.42578125" customWidth="1"/>
    <col min="12296" max="12296" width="5.140625" customWidth="1"/>
    <col min="12297" max="12297" width="5.7109375" customWidth="1"/>
    <col min="12298" max="12298" width="5.140625" customWidth="1"/>
    <col min="12299" max="12299" width="4" customWidth="1"/>
    <col min="12300" max="12300" width="4.7109375" customWidth="1"/>
    <col min="12301" max="12301" width="3.28515625" customWidth="1"/>
    <col min="12302" max="12302" width="3" customWidth="1"/>
    <col min="12303" max="12303" width="7.7109375" customWidth="1"/>
    <col min="12304" max="12304" width="7.85546875" customWidth="1"/>
    <col min="12305" max="12305" width="5.85546875" customWidth="1"/>
    <col min="12545" max="12545" width="7.28515625" customWidth="1"/>
    <col min="12546" max="12546" width="9.140625" customWidth="1"/>
    <col min="12547" max="12547" width="9.42578125" customWidth="1"/>
    <col min="12548" max="12548" width="9.85546875" customWidth="1"/>
    <col min="12549" max="12549" width="2.7109375" customWidth="1"/>
    <col min="12550" max="12550" width="5.140625" customWidth="1"/>
    <col min="12551" max="12551" width="5.42578125" customWidth="1"/>
    <col min="12552" max="12552" width="5.140625" customWidth="1"/>
    <col min="12553" max="12553" width="5.7109375" customWidth="1"/>
    <col min="12554" max="12554" width="5.140625" customWidth="1"/>
    <col min="12555" max="12555" width="4" customWidth="1"/>
    <col min="12556" max="12556" width="4.7109375" customWidth="1"/>
    <col min="12557" max="12557" width="3.28515625" customWidth="1"/>
    <col min="12558" max="12558" width="3" customWidth="1"/>
    <col min="12559" max="12559" width="7.7109375" customWidth="1"/>
    <col min="12560" max="12560" width="7.85546875" customWidth="1"/>
    <col min="12561" max="12561" width="5.85546875" customWidth="1"/>
    <col min="12801" max="12801" width="7.28515625" customWidth="1"/>
    <col min="12802" max="12802" width="9.140625" customWidth="1"/>
    <col min="12803" max="12803" width="9.42578125" customWidth="1"/>
    <col min="12804" max="12804" width="9.85546875" customWidth="1"/>
    <col min="12805" max="12805" width="2.7109375" customWidth="1"/>
    <col min="12806" max="12806" width="5.140625" customWidth="1"/>
    <col min="12807" max="12807" width="5.42578125" customWidth="1"/>
    <col min="12808" max="12808" width="5.140625" customWidth="1"/>
    <col min="12809" max="12809" width="5.7109375" customWidth="1"/>
    <col min="12810" max="12810" width="5.140625" customWidth="1"/>
    <col min="12811" max="12811" width="4" customWidth="1"/>
    <col min="12812" max="12812" width="4.7109375" customWidth="1"/>
    <col min="12813" max="12813" width="3.28515625" customWidth="1"/>
    <col min="12814" max="12814" width="3" customWidth="1"/>
    <col min="12815" max="12815" width="7.7109375" customWidth="1"/>
    <col min="12816" max="12816" width="7.85546875" customWidth="1"/>
    <col min="12817" max="12817" width="5.85546875" customWidth="1"/>
    <col min="13057" max="13057" width="7.28515625" customWidth="1"/>
    <col min="13058" max="13058" width="9.140625" customWidth="1"/>
    <col min="13059" max="13059" width="9.42578125" customWidth="1"/>
    <col min="13060" max="13060" width="9.85546875" customWidth="1"/>
    <col min="13061" max="13061" width="2.7109375" customWidth="1"/>
    <col min="13062" max="13062" width="5.140625" customWidth="1"/>
    <col min="13063" max="13063" width="5.42578125" customWidth="1"/>
    <col min="13064" max="13064" width="5.140625" customWidth="1"/>
    <col min="13065" max="13065" width="5.7109375" customWidth="1"/>
    <col min="13066" max="13066" width="5.140625" customWidth="1"/>
    <col min="13067" max="13067" width="4" customWidth="1"/>
    <col min="13068" max="13068" width="4.7109375" customWidth="1"/>
    <col min="13069" max="13069" width="3.28515625" customWidth="1"/>
    <col min="13070" max="13070" width="3" customWidth="1"/>
    <col min="13071" max="13071" width="7.7109375" customWidth="1"/>
    <col min="13072" max="13072" width="7.85546875" customWidth="1"/>
    <col min="13073" max="13073" width="5.85546875" customWidth="1"/>
    <col min="13313" max="13313" width="7.28515625" customWidth="1"/>
    <col min="13314" max="13314" width="9.140625" customWidth="1"/>
    <col min="13315" max="13315" width="9.42578125" customWidth="1"/>
    <col min="13316" max="13316" width="9.85546875" customWidth="1"/>
    <col min="13317" max="13317" width="2.7109375" customWidth="1"/>
    <col min="13318" max="13318" width="5.140625" customWidth="1"/>
    <col min="13319" max="13319" width="5.42578125" customWidth="1"/>
    <col min="13320" max="13320" width="5.140625" customWidth="1"/>
    <col min="13321" max="13321" width="5.7109375" customWidth="1"/>
    <col min="13322" max="13322" width="5.140625" customWidth="1"/>
    <col min="13323" max="13323" width="4" customWidth="1"/>
    <col min="13324" max="13324" width="4.7109375" customWidth="1"/>
    <col min="13325" max="13325" width="3.28515625" customWidth="1"/>
    <col min="13326" max="13326" width="3" customWidth="1"/>
    <col min="13327" max="13327" width="7.7109375" customWidth="1"/>
    <col min="13328" max="13328" width="7.85546875" customWidth="1"/>
    <col min="13329" max="13329" width="5.85546875" customWidth="1"/>
    <col min="13569" max="13569" width="7.28515625" customWidth="1"/>
    <col min="13570" max="13570" width="9.140625" customWidth="1"/>
    <col min="13571" max="13571" width="9.42578125" customWidth="1"/>
    <col min="13572" max="13572" width="9.85546875" customWidth="1"/>
    <col min="13573" max="13573" width="2.7109375" customWidth="1"/>
    <col min="13574" max="13574" width="5.140625" customWidth="1"/>
    <col min="13575" max="13575" width="5.42578125" customWidth="1"/>
    <col min="13576" max="13576" width="5.140625" customWidth="1"/>
    <col min="13577" max="13577" width="5.7109375" customWidth="1"/>
    <col min="13578" max="13578" width="5.140625" customWidth="1"/>
    <col min="13579" max="13579" width="4" customWidth="1"/>
    <col min="13580" max="13580" width="4.7109375" customWidth="1"/>
    <col min="13581" max="13581" width="3.28515625" customWidth="1"/>
    <col min="13582" max="13582" width="3" customWidth="1"/>
    <col min="13583" max="13583" width="7.7109375" customWidth="1"/>
    <col min="13584" max="13584" width="7.85546875" customWidth="1"/>
    <col min="13585" max="13585" width="5.85546875" customWidth="1"/>
    <col min="13825" max="13825" width="7.28515625" customWidth="1"/>
    <col min="13826" max="13826" width="9.140625" customWidth="1"/>
    <col min="13827" max="13827" width="9.42578125" customWidth="1"/>
    <col min="13828" max="13828" width="9.85546875" customWidth="1"/>
    <col min="13829" max="13829" width="2.7109375" customWidth="1"/>
    <col min="13830" max="13830" width="5.140625" customWidth="1"/>
    <col min="13831" max="13831" width="5.42578125" customWidth="1"/>
    <col min="13832" max="13832" width="5.140625" customWidth="1"/>
    <col min="13833" max="13833" width="5.7109375" customWidth="1"/>
    <col min="13834" max="13834" width="5.140625" customWidth="1"/>
    <col min="13835" max="13835" width="4" customWidth="1"/>
    <col min="13836" max="13836" width="4.7109375" customWidth="1"/>
    <col min="13837" max="13837" width="3.28515625" customWidth="1"/>
    <col min="13838" max="13838" width="3" customWidth="1"/>
    <col min="13839" max="13839" width="7.7109375" customWidth="1"/>
    <col min="13840" max="13840" width="7.85546875" customWidth="1"/>
    <col min="13841" max="13841" width="5.85546875" customWidth="1"/>
    <col min="14081" max="14081" width="7.28515625" customWidth="1"/>
    <col min="14082" max="14082" width="9.140625" customWidth="1"/>
    <col min="14083" max="14083" width="9.42578125" customWidth="1"/>
    <col min="14084" max="14084" width="9.85546875" customWidth="1"/>
    <col min="14085" max="14085" width="2.7109375" customWidth="1"/>
    <col min="14086" max="14086" width="5.140625" customWidth="1"/>
    <col min="14087" max="14087" width="5.42578125" customWidth="1"/>
    <col min="14088" max="14088" width="5.140625" customWidth="1"/>
    <col min="14089" max="14089" width="5.7109375" customWidth="1"/>
    <col min="14090" max="14090" width="5.140625" customWidth="1"/>
    <col min="14091" max="14091" width="4" customWidth="1"/>
    <col min="14092" max="14092" width="4.7109375" customWidth="1"/>
    <col min="14093" max="14093" width="3.28515625" customWidth="1"/>
    <col min="14094" max="14094" width="3" customWidth="1"/>
    <col min="14095" max="14095" width="7.7109375" customWidth="1"/>
    <col min="14096" max="14096" width="7.85546875" customWidth="1"/>
    <col min="14097" max="14097" width="5.85546875" customWidth="1"/>
    <col min="14337" max="14337" width="7.28515625" customWidth="1"/>
    <col min="14338" max="14338" width="9.140625" customWidth="1"/>
    <col min="14339" max="14339" width="9.42578125" customWidth="1"/>
    <col min="14340" max="14340" width="9.85546875" customWidth="1"/>
    <col min="14341" max="14341" width="2.7109375" customWidth="1"/>
    <col min="14342" max="14342" width="5.140625" customWidth="1"/>
    <col min="14343" max="14343" width="5.42578125" customWidth="1"/>
    <col min="14344" max="14344" width="5.140625" customWidth="1"/>
    <col min="14345" max="14345" width="5.7109375" customWidth="1"/>
    <col min="14346" max="14346" width="5.140625" customWidth="1"/>
    <col min="14347" max="14347" width="4" customWidth="1"/>
    <col min="14348" max="14348" width="4.7109375" customWidth="1"/>
    <col min="14349" max="14349" width="3.28515625" customWidth="1"/>
    <col min="14350" max="14350" width="3" customWidth="1"/>
    <col min="14351" max="14351" width="7.7109375" customWidth="1"/>
    <col min="14352" max="14352" width="7.85546875" customWidth="1"/>
    <col min="14353" max="14353" width="5.85546875" customWidth="1"/>
    <col min="14593" max="14593" width="7.28515625" customWidth="1"/>
    <col min="14594" max="14594" width="9.140625" customWidth="1"/>
    <col min="14595" max="14595" width="9.42578125" customWidth="1"/>
    <col min="14596" max="14596" width="9.85546875" customWidth="1"/>
    <col min="14597" max="14597" width="2.7109375" customWidth="1"/>
    <col min="14598" max="14598" width="5.140625" customWidth="1"/>
    <col min="14599" max="14599" width="5.42578125" customWidth="1"/>
    <col min="14600" max="14600" width="5.140625" customWidth="1"/>
    <col min="14601" max="14601" width="5.7109375" customWidth="1"/>
    <col min="14602" max="14602" width="5.140625" customWidth="1"/>
    <col min="14603" max="14603" width="4" customWidth="1"/>
    <col min="14604" max="14604" width="4.7109375" customWidth="1"/>
    <col min="14605" max="14605" width="3.28515625" customWidth="1"/>
    <col min="14606" max="14606" width="3" customWidth="1"/>
    <col min="14607" max="14607" width="7.7109375" customWidth="1"/>
    <col min="14608" max="14608" width="7.85546875" customWidth="1"/>
    <col min="14609" max="14609" width="5.85546875" customWidth="1"/>
    <col min="14849" max="14849" width="7.28515625" customWidth="1"/>
    <col min="14850" max="14850" width="9.140625" customWidth="1"/>
    <col min="14851" max="14851" width="9.42578125" customWidth="1"/>
    <col min="14852" max="14852" width="9.85546875" customWidth="1"/>
    <col min="14853" max="14853" width="2.7109375" customWidth="1"/>
    <col min="14854" max="14854" width="5.140625" customWidth="1"/>
    <col min="14855" max="14855" width="5.42578125" customWidth="1"/>
    <col min="14856" max="14856" width="5.140625" customWidth="1"/>
    <col min="14857" max="14857" width="5.7109375" customWidth="1"/>
    <col min="14858" max="14858" width="5.140625" customWidth="1"/>
    <col min="14859" max="14859" width="4" customWidth="1"/>
    <col min="14860" max="14860" width="4.7109375" customWidth="1"/>
    <col min="14861" max="14861" width="3.28515625" customWidth="1"/>
    <col min="14862" max="14862" width="3" customWidth="1"/>
    <col min="14863" max="14863" width="7.7109375" customWidth="1"/>
    <col min="14864" max="14864" width="7.85546875" customWidth="1"/>
    <col min="14865" max="14865" width="5.85546875" customWidth="1"/>
    <col min="15105" max="15105" width="7.28515625" customWidth="1"/>
    <col min="15106" max="15106" width="9.140625" customWidth="1"/>
    <col min="15107" max="15107" width="9.42578125" customWidth="1"/>
    <col min="15108" max="15108" width="9.85546875" customWidth="1"/>
    <col min="15109" max="15109" width="2.7109375" customWidth="1"/>
    <col min="15110" max="15110" width="5.140625" customWidth="1"/>
    <col min="15111" max="15111" width="5.42578125" customWidth="1"/>
    <col min="15112" max="15112" width="5.140625" customWidth="1"/>
    <col min="15113" max="15113" width="5.7109375" customWidth="1"/>
    <col min="15114" max="15114" width="5.140625" customWidth="1"/>
    <col min="15115" max="15115" width="4" customWidth="1"/>
    <col min="15116" max="15116" width="4.7109375" customWidth="1"/>
    <col min="15117" max="15117" width="3.28515625" customWidth="1"/>
    <col min="15118" max="15118" width="3" customWidth="1"/>
    <col min="15119" max="15119" width="7.7109375" customWidth="1"/>
    <col min="15120" max="15120" width="7.85546875" customWidth="1"/>
    <col min="15121" max="15121" width="5.85546875" customWidth="1"/>
    <col min="15361" max="15361" width="7.28515625" customWidth="1"/>
    <col min="15362" max="15362" width="9.140625" customWidth="1"/>
    <col min="15363" max="15363" width="9.42578125" customWidth="1"/>
    <col min="15364" max="15364" width="9.85546875" customWidth="1"/>
    <col min="15365" max="15365" width="2.7109375" customWidth="1"/>
    <col min="15366" max="15366" width="5.140625" customWidth="1"/>
    <col min="15367" max="15367" width="5.42578125" customWidth="1"/>
    <col min="15368" max="15368" width="5.140625" customWidth="1"/>
    <col min="15369" max="15369" width="5.7109375" customWidth="1"/>
    <col min="15370" max="15370" width="5.140625" customWidth="1"/>
    <col min="15371" max="15371" width="4" customWidth="1"/>
    <col min="15372" max="15372" width="4.7109375" customWidth="1"/>
    <col min="15373" max="15373" width="3.28515625" customWidth="1"/>
    <col min="15374" max="15374" width="3" customWidth="1"/>
    <col min="15375" max="15375" width="7.7109375" customWidth="1"/>
    <col min="15376" max="15376" width="7.85546875" customWidth="1"/>
    <col min="15377" max="15377" width="5.85546875" customWidth="1"/>
    <col min="15617" max="15617" width="7.28515625" customWidth="1"/>
    <col min="15618" max="15618" width="9.140625" customWidth="1"/>
    <col min="15619" max="15619" width="9.42578125" customWidth="1"/>
    <col min="15620" max="15620" width="9.85546875" customWidth="1"/>
    <col min="15621" max="15621" width="2.7109375" customWidth="1"/>
    <col min="15622" max="15622" width="5.140625" customWidth="1"/>
    <col min="15623" max="15623" width="5.42578125" customWidth="1"/>
    <col min="15624" max="15624" width="5.140625" customWidth="1"/>
    <col min="15625" max="15625" width="5.7109375" customWidth="1"/>
    <col min="15626" max="15626" width="5.140625" customWidth="1"/>
    <col min="15627" max="15627" width="4" customWidth="1"/>
    <col min="15628" max="15628" width="4.7109375" customWidth="1"/>
    <col min="15629" max="15629" width="3.28515625" customWidth="1"/>
    <col min="15630" max="15630" width="3" customWidth="1"/>
    <col min="15631" max="15631" width="7.7109375" customWidth="1"/>
    <col min="15632" max="15632" width="7.85546875" customWidth="1"/>
    <col min="15633" max="15633" width="5.85546875" customWidth="1"/>
    <col min="15873" max="15873" width="7.28515625" customWidth="1"/>
    <col min="15874" max="15874" width="9.140625" customWidth="1"/>
    <col min="15875" max="15875" width="9.42578125" customWidth="1"/>
    <col min="15876" max="15876" width="9.85546875" customWidth="1"/>
    <col min="15877" max="15877" width="2.7109375" customWidth="1"/>
    <col min="15878" max="15878" width="5.140625" customWidth="1"/>
    <col min="15879" max="15879" width="5.42578125" customWidth="1"/>
    <col min="15880" max="15880" width="5.140625" customWidth="1"/>
    <col min="15881" max="15881" width="5.7109375" customWidth="1"/>
    <col min="15882" max="15882" width="5.140625" customWidth="1"/>
    <col min="15883" max="15883" width="4" customWidth="1"/>
    <col min="15884" max="15884" width="4.7109375" customWidth="1"/>
    <col min="15885" max="15885" width="3.28515625" customWidth="1"/>
    <col min="15886" max="15886" width="3" customWidth="1"/>
    <col min="15887" max="15887" width="7.7109375" customWidth="1"/>
    <col min="15888" max="15888" width="7.85546875" customWidth="1"/>
    <col min="15889" max="15889" width="5.85546875" customWidth="1"/>
    <col min="16129" max="16129" width="7.28515625" customWidth="1"/>
    <col min="16130" max="16130" width="9.140625" customWidth="1"/>
    <col min="16131" max="16131" width="9.42578125" customWidth="1"/>
    <col min="16132" max="16132" width="9.85546875" customWidth="1"/>
    <col min="16133" max="16133" width="2.7109375" customWidth="1"/>
    <col min="16134" max="16134" width="5.140625" customWidth="1"/>
    <col min="16135" max="16135" width="5.42578125" customWidth="1"/>
    <col min="16136" max="16136" width="5.140625" customWidth="1"/>
    <col min="16137" max="16137" width="5.7109375" customWidth="1"/>
    <col min="16138" max="16138" width="5.140625" customWidth="1"/>
    <col min="16139" max="16139" width="4" customWidth="1"/>
    <col min="16140" max="16140" width="4.7109375" customWidth="1"/>
    <col min="16141" max="16141" width="3.28515625" customWidth="1"/>
    <col min="16142" max="16142" width="3" customWidth="1"/>
    <col min="16143" max="16143" width="7.7109375" customWidth="1"/>
    <col min="16144" max="16144" width="7.85546875" customWidth="1"/>
    <col min="16145" max="16145" width="5.85546875" customWidth="1"/>
  </cols>
  <sheetData>
    <row r="1" spans="1:17" ht="14.25" customHeight="1" thickBot="1" x14ac:dyDescent="0.25">
      <c r="A1" s="1" t="s">
        <v>56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7" ht="12" customHeight="1" thickTop="1" x14ac:dyDescent="0.2">
      <c r="A2" s="49" t="s">
        <v>1</v>
      </c>
      <c r="B2" s="50"/>
      <c r="C2" s="50"/>
      <c r="D2" s="50"/>
      <c r="E2" s="50"/>
      <c r="F2" s="50"/>
      <c r="G2" s="50"/>
      <c r="H2" s="50"/>
      <c r="I2" s="50"/>
      <c r="J2" s="50"/>
      <c r="K2" s="50"/>
      <c r="L2" s="51"/>
    </row>
    <row r="3" spans="1:17" ht="10.5" customHeight="1" x14ac:dyDescent="0.2">
      <c r="A3" s="52" t="s">
        <v>55</v>
      </c>
      <c r="B3" s="53"/>
      <c r="C3" s="53"/>
      <c r="D3" s="53"/>
      <c r="E3" s="53"/>
      <c r="F3" s="53"/>
      <c r="G3" s="53"/>
      <c r="H3" s="53"/>
      <c r="I3" s="53"/>
      <c r="J3" s="53"/>
      <c r="K3" s="53"/>
      <c r="L3" s="54"/>
    </row>
    <row r="4" spans="1:17" ht="10.5" customHeight="1" thickBot="1" x14ac:dyDescent="0.25">
      <c r="A4" s="55" t="s">
        <v>2</v>
      </c>
      <c r="B4" s="56"/>
      <c r="C4" s="56"/>
      <c r="D4" s="56"/>
      <c r="E4" s="56"/>
      <c r="F4" s="56"/>
      <c r="G4" s="56"/>
      <c r="H4" s="56"/>
      <c r="I4" s="56"/>
      <c r="J4" s="56"/>
      <c r="K4" s="56"/>
      <c r="L4" s="57"/>
    </row>
    <row r="5" spans="1:17" ht="5.25" customHeight="1" thickTop="1" thickBot="1" x14ac:dyDescent="0.25"/>
    <row r="6" spans="1:17" ht="14.25" thickTop="1" thickBot="1" x14ac:dyDescent="0.25">
      <c r="A6" s="6" t="s">
        <v>3</v>
      </c>
      <c r="B6" s="7" t="s">
        <v>4</v>
      </c>
      <c r="C6" s="8"/>
      <c r="D6" s="9" t="s">
        <v>5</v>
      </c>
      <c r="E6" s="8"/>
      <c r="F6" s="9" t="s">
        <v>6</v>
      </c>
      <c r="G6" s="9" t="s">
        <v>7</v>
      </c>
      <c r="H6" s="9" t="s">
        <v>8</v>
      </c>
      <c r="I6" s="9" t="s">
        <v>9</v>
      </c>
      <c r="J6" s="9" t="s">
        <v>10</v>
      </c>
      <c r="K6" s="9" t="s">
        <v>11</v>
      </c>
      <c r="L6" s="10" t="s">
        <v>12</v>
      </c>
      <c r="N6" s="11" t="s">
        <v>13</v>
      </c>
      <c r="O6" s="12"/>
      <c r="P6" s="12"/>
      <c r="Q6" s="13"/>
    </row>
    <row r="7" spans="1:17" ht="12" customHeight="1" thickTop="1" thickBot="1" x14ac:dyDescent="0.25">
      <c r="A7" s="14" t="s">
        <v>14</v>
      </c>
      <c r="B7" s="15" t="s">
        <v>15</v>
      </c>
      <c r="C7" s="16"/>
      <c r="D7" s="17">
        <v>2.6666666666666656</v>
      </c>
      <c r="E7" s="18"/>
      <c r="F7" s="19">
        <v>0</v>
      </c>
      <c r="G7" s="19">
        <v>0</v>
      </c>
      <c r="H7" s="19">
        <v>1</v>
      </c>
      <c r="I7" s="19">
        <v>1</v>
      </c>
      <c r="J7" s="19">
        <v>1</v>
      </c>
      <c r="K7" s="19">
        <v>1</v>
      </c>
      <c r="L7" s="20">
        <v>1</v>
      </c>
      <c r="N7" s="21"/>
      <c r="O7" s="22"/>
      <c r="P7" s="22"/>
      <c r="Q7" s="23"/>
    </row>
    <row r="8" spans="1:17" ht="12" customHeight="1" thickTop="1" thickBot="1" x14ac:dyDescent="0.25">
      <c r="A8" s="14" t="s">
        <v>16</v>
      </c>
      <c r="B8" s="15" t="s">
        <v>17</v>
      </c>
      <c r="C8" s="16"/>
      <c r="D8" s="24">
        <v>5.0000000000000018</v>
      </c>
      <c r="E8" s="18"/>
      <c r="F8" s="19">
        <v>1</v>
      </c>
      <c r="G8" s="19">
        <v>0</v>
      </c>
      <c r="H8" s="19">
        <v>0</v>
      </c>
      <c r="I8" s="19">
        <v>1</v>
      </c>
      <c r="J8" s="19">
        <v>1</v>
      </c>
      <c r="K8" s="19">
        <v>1</v>
      </c>
      <c r="L8" s="20">
        <v>1</v>
      </c>
      <c r="N8" s="21"/>
      <c r="O8" s="25"/>
      <c r="P8" s="26" t="s">
        <v>18</v>
      </c>
      <c r="Q8" s="23"/>
    </row>
    <row r="9" spans="1:17" ht="12" customHeight="1" thickTop="1" thickBot="1" x14ac:dyDescent="0.25">
      <c r="A9" s="14" t="s">
        <v>19</v>
      </c>
      <c r="B9" s="15" t="s">
        <v>20</v>
      </c>
      <c r="C9" s="16"/>
      <c r="D9" s="24">
        <v>6.6666666666666652</v>
      </c>
      <c r="E9" s="18"/>
      <c r="F9" s="19">
        <v>1</v>
      </c>
      <c r="G9" s="19">
        <v>1</v>
      </c>
      <c r="H9" s="19">
        <v>0</v>
      </c>
      <c r="I9" s="19">
        <v>0</v>
      </c>
      <c r="J9" s="19">
        <v>1</v>
      </c>
      <c r="K9" s="19">
        <v>1</v>
      </c>
      <c r="L9" s="20">
        <v>1</v>
      </c>
      <c r="N9" s="21"/>
      <c r="O9" s="27"/>
      <c r="P9" s="26"/>
      <c r="Q9" s="23"/>
    </row>
    <row r="10" spans="1:17" ht="12" customHeight="1" thickTop="1" thickBot="1" x14ac:dyDescent="0.25">
      <c r="A10" s="14" t="s">
        <v>21</v>
      </c>
      <c r="B10" s="15" t="s">
        <v>22</v>
      </c>
      <c r="C10" s="16"/>
      <c r="D10" s="24">
        <v>3.6666666666666679</v>
      </c>
      <c r="E10" s="18"/>
      <c r="F10" s="19">
        <v>1</v>
      </c>
      <c r="G10" s="19">
        <v>1</v>
      </c>
      <c r="H10" s="19">
        <v>1</v>
      </c>
      <c r="I10" s="19">
        <v>0</v>
      </c>
      <c r="J10" s="19">
        <v>0</v>
      </c>
      <c r="K10" s="19">
        <v>1</v>
      </c>
      <c r="L10" s="20">
        <v>1</v>
      </c>
      <c r="N10" s="21"/>
      <c r="O10" s="28"/>
      <c r="P10" s="26" t="s">
        <v>23</v>
      </c>
      <c r="Q10" s="23"/>
    </row>
    <row r="11" spans="1:17" ht="12" customHeight="1" thickTop="1" thickBot="1" x14ac:dyDescent="0.25">
      <c r="A11" s="14" t="s">
        <v>24</v>
      </c>
      <c r="B11" s="15" t="s">
        <v>25</v>
      </c>
      <c r="C11" s="16"/>
      <c r="D11" s="24">
        <v>6</v>
      </c>
      <c r="E11" s="18"/>
      <c r="F11" s="19">
        <v>1</v>
      </c>
      <c r="G11" s="19">
        <v>1</v>
      </c>
      <c r="H11" s="19">
        <v>1</v>
      </c>
      <c r="I11" s="19">
        <v>1</v>
      </c>
      <c r="J11" s="19">
        <v>0</v>
      </c>
      <c r="K11" s="19">
        <v>0</v>
      </c>
      <c r="L11" s="20">
        <v>1</v>
      </c>
      <c r="N11" s="21"/>
      <c r="O11" s="27"/>
      <c r="P11" s="26"/>
      <c r="Q11" s="23"/>
    </row>
    <row r="12" spans="1:17" ht="12" customHeight="1" thickTop="1" thickBot="1" x14ac:dyDescent="0.25">
      <c r="A12" s="14" t="s">
        <v>26</v>
      </c>
      <c r="B12" s="15" t="s">
        <v>27</v>
      </c>
      <c r="C12" s="16"/>
      <c r="D12" s="24">
        <v>0.66666666666666663</v>
      </c>
      <c r="E12" s="18"/>
      <c r="F12" s="19">
        <v>1</v>
      </c>
      <c r="G12" s="19">
        <v>1</v>
      </c>
      <c r="H12" s="19">
        <v>1</v>
      </c>
      <c r="I12" s="19">
        <v>1</v>
      </c>
      <c r="J12" s="19">
        <v>1</v>
      </c>
      <c r="K12" s="19">
        <v>0</v>
      </c>
      <c r="L12" s="20">
        <v>0</v>
      </c>
      <c r="N12" s="21"/>
      <c r="O12" s="29"/>
      <c r="P12" s="26" t="s">
        <v>28</v>
      </c>
      <c r="Q12" s="23"/>
    </row>
    <row r="13" spans="1:17" ht="12" customHeight="1" thickTop="1" thickBot="1" x14ac:dyDescent="0.25">
      <c r="A13" s="30" t="s">
        <v>29</v>
      </c>
      <c r="B13" s="31" t="s">
        <v>30</v>
      </c>
      <c r="C13" s="32"/>
      <c r="D13" s="33">
        <v>0</v>
      </c>
      <c r="E13" s="34"/>
      <c r="F13" s="35">
        <v>0</v>
      </c>
      <c r="G13" s="35">
        <v>1</v>
      </c>
      <c r="H13" s="35">
        <v>1</v>
      </c>
      <c r="I13" s="35">
        <v>1</v>
      </c>
      <c r="J13" s="35">
        <v>1</v>
      </c>
      <c r="K13" s="35">
        <v>1</v>
      </c>
      <c r="L13" s="36">
        <v>0</v>
      </c>
      <c r="N13" s="37"/>
      <c r="O13" s="38"/>
      <c r="P13" s="38"/>
      <c r="Q13" s="39"/>
    </row>
    <row r="14" spans="1:17" ht="18" customHeight="1" thickTop="1" thickBot="1" x14ac:dyDescent="0.25">
      <c r="A14" s="2"/>
      <c r="B14" s="2"/>
      <c r="C14" s="2"/>
      <c r="D14" s="40"/>
      <c r="E14" s="40"/>
      <c r="F14" s="40"/>
      <c r="G14" s="40"/>
      <c r="H14" s="40"/>
      <c r="I14" s="40"/>
      <c r="J14" s="40"/>
      <c r="K14" s="40"/>
      <c r="L14" s="40"/>
    </row>
    <row r="15" spans="1:17" ht="14.25" thickTop="1" thickBot="1" x14ac:dyDescent="0.25">
      <c r="A15" s="2"/>
      <c r="B15" s="2"/>
      <c r="C15" s="41" t="s">
        <v>31</v>
      </c>
      <c r="D15" s="42">
        <f>SUM(D7:D13)</f>
        <v>24.666666666666668</v>
      </c>
      <c r="E15" s="42"/>
      <c r="F15" s="43">
        <f t="shared" ref="F15:L15" si="0">$D$7*F7+$D$8*F8+$D$9*F9+$D$10*F10+$D$11*F11+$D$12*F12+$D$13*F13</f>
        <v>22.000000000000004</v>
      </c>
      <c r="G15" s="44">
        <f t="shared" si="0"/>
        <v>17</v>
      </c>
      <c r="H15" s="44">
        <f t="shared" si="0"/>
        <v>13</v>
      </c>
      <c r="I15" s="44">
        <f t="shared" si="0"/>
        <v>14.333333333333334</v>
      </c>
      <c r="J15" s="44">
        <f t="shared" si="0"/>
        <v>14.999999999999998</v>
      </c>
      <c r="K15" s="44">
        <f t="shared" si="0"/>
        <v>18</v>
      </c>
      <c r="L15" s="45">
        <f t="shared" si="0"/>
        <v>24</v>
      </c>
    </row>
    <row r="16" spans="1:17" ht="5.25" customHeight="1" thickTop="1" thickBot="1" x14ac:dyDescent="0.25">
      <c r="A16" s="2"/>
      <c r="B16" s="2"/>
      <c r="C16" s="46"/>
      <c r="D16" s="42"/>
      <c r="E16" s="42"/>
      <c r="F16" s="42"/>
      <c r="G16" s="42"/>
      <c r="H16" s="42"/>
      <c r="I16" s="42"/>
      <c r="J16" s="42"/>
      <c r="K16" s="42"/>
      <c r="L16" s="42"/>
    </row>
    <row r="17" spans="1:12" ht="14.25" thickTop="1" thickBot="1" x14ac:dyDescent="0.25">
      <c r="A17" s="2"/>
      <c r="B17" s="2"/>
      <c r="C17" s="41" t="s">
        <v>32</v>
      </c>
      <c r="F17" s="43">
        <v>22</v>
      </c>
      <c r="G17" s="44">
        <v>17</v>
      </c>
      <c r="H17" s="44">
        <v>13</v>
      </c>
      <c r="I17" s="44">
        <v>14</v>
      </c>
      <c r="J17" s="44">
        <v>15</v>
      </c>
      <c r="K17" s="44">
        <v>18</v>
      </c>
      <c r="L17" s="45">
        <v>24</v>
      </c>
    </row>
    <row r="18" spans="1:12" ht="5.25" customHeight="1" thickTop="1" x14ac:dyDescent="0.2">
      <c r="B18" s="2"/>
      <c r="C18" s="2"/>
      <c r="D18" s="40"/>
      <c r="E18" s="40"/>
      <c r="F18" s="40"/>
      <c r="G18" s="40"/>
      <c r="H18" s="40"/>
      <c r="I18" s="40"/>
      <c r="J18" s="40"/>
      <c r="K18" s="40"/>
      <c r="L18" s="40"/>
    </row>
    <row r="19" spans="1:12" ht="13.5" thickBot="1" x14ac:dyDescent="0.25">
      <c r="A19" s="2"/>
      <c r="B19" s="47" t="s">
        <v>57</v>
      </c>
      <c r="C19" s="2"/>
      <c r="D19" s="104">
        <v>300</v>
      </c>
      <c r="E19" s="40"/>
      <c r="F19" s="40"/>
      <c r="G19" s="40"/>
      <c r="H19" s="40"/>
      <c r="I19" s="40"/>
      <c r="J19" s="40"/>
      <c r="K19" s="40"/>
      <c r="L19" s="40"/>
    </row>
    <row r="20" spans="1:12" ht="14.25" thickTop="1" thickBot="1" x14ac:dyDescent="0.25">
      <c r="A20" s="2"/>
      <c r="B20" s="47" t="s">
        <v>33</v>
      </c>
      <c r="C20" s="2"/>
      <c r="D20" s="105">
        <f>D15*D19</f>
        <v>7400</v>
      </c>
      <c r="E20" s="40"/>
      <c r="F20" s="48"/>
      <c r="G20" s="40"/>
      <c r="H20" s="40"/>
      <c r="I20" s="40"/>
      <c r="J20" s="40"/>
      <c r="K20" s="40"/>
      <c r="L20" s="40"/>
    </row>
    <row r="21" spans="1:12" ht="5.25" customHeight="1" thickTop="1" x14ac:dyDescent="0.2">
      <c r="H21" s="40"/>
    </row>
    <row r="22" spans="1:12" x14ac:dyDescent="0.2">
      <c r="H22" s="40"/>
    </row>
    <row r="23" spans="1:12" x14ac:dyDescent="0.2">
      <c r="H23" s="40"/>
    </row>
    <row r="24" spans="1:12" x14ac:dyDescent="0.2">
      <c r="H24" s="40"/>
    </row>
    <row r="25" spans="1:12" x14ac:dyDescent="0.2">
      <c r="H25" s="40"/>
    </row>
    <row r="26" spans="1:12" x14ac:dyDescent="0.2">
      <c r="H26" s="40"/>
    </row>
    <row r="27" spans="1:12" x14ac:dyDescent="0.2">
      <c r="H27" s="40"/>
    </row>
    <row r="28" spans="1:12" x14ac:dyDescent="0.2">
      <c r="H28" s="40"/>
    </row>
    <row r="30" spans="1:12" x14ac:dyDescent="0.2">
      <c r="H30" s="106"/>
    </row>
  </sheetData>
  <printOptions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Página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M21"/>
  <sheetViews>
    <sheetView showGridLines="0" zoomScale="64" workbookViewId="0">
      <selection activeCell="H45" sqref="H45"/>
    </sheetView>
  </sheetViews>
  <sheetFormatPr baseColWidth="10" defaultColWidth="7.5703125" defaultRowHeight="10.5" x14ac:dyDescent="0.15"/>
  <cols>
    <col min="1" max="1" width="9.85546875" style="59" customWidth="1"/>
    <col min="2" max="7" width="8.42578125" style="59" customWidth="1"/>
    <col min="8" max="8" width="9.28515625" style="58" customWidth="1"/>
    <col min="9" max="9" width="2.85546875" style="58" customWidth="1"/>
    <col min="10" max="10" width="3.28515625" style="58" customWidth="1"/>
    <col min="11" max="11" width="6.42578125" style="58" customWidth="1"/>
    <col min="12" max="12" width="6" style="58" customWidth="1"/>
    <col min="13" max="13" width="7.140625" style="58" customWidth="1"/>
    <col min="14" max="16384" width="7.5703125" style="58"/>
  </cols>
  <sheetData>
    <row r="1" spans="1:13" ht="14.25" customHeight="1" thickBot="1" x14ac:dyDescent="0.25">
      <c r="A1" s="1" t="s">
        <v>54</v>
      </c>
    </row>
    <row r="2" spans="1:13" ht="12" customHeight="1" thickTop="1" x14ac:dyDescent="0.2">
      <c r="A2" s="3" t="s">
        <v>53</v>
      </c>
      <c r="B2" s="103"/>
      <c r="C2" s="103"/>
      <c r="D2" s="103"/>
      <c r="E2" s="103"/>
      <c r="F2" s="103"/>
      <c r="G2" s="103"/>
      <c r="H2" s="102"/>
      <c r="J2"/>
      <c r="K2"/>
      <c r="L2"/>
      <c r="M2"/>
    </row>
    <row r="3" spans="1:13" ht="10.5" customHeight="1" x14ac:dyDescent="0.2">
      <c r="A3" s="4" t="s">
        <v>52</v>
      </c>
      <c r="B3" s="101"/>
      <c r="C3" s="101"/>
      <c r="D3" s="101"/>
      <c r="E3" s="101"/>
      <c r="F3" s="101"/>
      <c r="G3" s="101"/>
      <c r="H3" s="100"/>
      <c r="J3"/>
      <c r="K3"/>
      <c r="L3"/>
      <c r="M3"/>
    </row>
    <row r="4" spans="1:13" ht="10.5" customHeight="1" thickBot="1" x14ac:dyDescent="0.25">
      <c r="A4" s="5" t="s">
        <v>51</v>
      </c>
      <c r="B4" s="99"/>
      <c r="C4" s="99"/>
      <c r="D4" s="99"/>
      <c r="E4" s="99"/>
      <c r="F4" s="99"/>
      <c r="G4" s="99"/>
      <c r="H4" s="98"/>
      <c r="J4"/>
      <c r="K4"/>
      <c r="L4"/>
      <c r="M4"/>
    </row>
    <row r="5" spans="1:13" ht="5.85" customHeight="1" thickTop="1" thickBot="1" x14ac:dyDescent="0.25">
      <c r="D5" s="58"/>
      <c r="J5"/>
      <c r="K5"/>
      <c r="L5"/>
      <c r="M5"/>
    </row>
    <row r="6" spans="1:13" ht="11.25" customHeight="1" thickTop="1" x14ac:dyDescent="0.15">
      <c r="A6" s="97"/>
      <c r="B6" s="74"/>
      <c r="C6" s="96" t="s">
        <v>50</v>
      </c>
      <c r="D6" s="74"/>
      <c r="E6" s="74"/>
      <c r="F6" s="74"/>
      <c r="G6" s="74"/>
      <c r="H6" s="64"/>
      <c r="J6" s="11" t="s">
        <v>13</v>
      </c>
      <c r="K6" s="12"/>
      <c r="L6" s="12"/>
      <c r="M6" s="13"/>
    </row>
    <row r="7" spans="1:13" ht="11.25" customHeight="1" thickBot="1" x14ac:dyDescent="0.2">
      <c r="A7" s="95" t="s">
        <v>49</v>
      </c>
      <c r="B7" s="94" t="s">
        <v>0</v>
      </c>
      <c r="C7" s="93" t="s">
        <v>48</v>
      </c>
      <c r="D7" s="93" t="s">
        <v>47</v>
      </c>
      <c r="E7" s="93" t="s">
        <v>46</v>
      </c>
      <c r="F7" s="93" t="s">
        <v>45</v>
      </c>
      <c r="G7" s="93" t="s">
        <v>44</v>
      </c>
      <c r="H7" s="70"/>
      <c r="J7" s="21"/>
      <c r="K7" s="22"/>
      <c r="L7" s="22"/>
      <c r="M7" s="23"/>
    </row>
    <row r="8" spans="1:13" ht="11.25" customHeight="1" thickTop="1" thickBot="1" x14ac:dyDescent="0.2">
      <c r="A8" s="69" t="s">
        <v>37</v>
      </c>
      <c r="B8" s="73">
        <f>SUM(C8:G8)</f>
        <v>300</v>
      </c>
      <c r="C8" s="92">
        <v>100</v>
      </c>
      <c r="D8" s="91">
        <v>0</v>
      </c>
      <c r="E8" s="91">
        <v>0</v>
      </c>
      <c r="F8" s="91">
        <v>0</v>
      </c>
      <c r="G8" s="90">
        <v>200</v>
      </c>
      <c r="H8" s="70"/>
      <c r="J8" s="21"/>
      <c r="K8" s="25"/>
      <c r="L8" s="26" t="s">
        <v>18</v>
      </c>
      <c r="M8" s="23"/>
    </row>
    <row r="9" spans="1:13" ht="11.25" customHeight="1" thickTop="1" thickBot="1" x14ac:dyDescent="0.2">
      <c r="A9" s="69" t="s">
        <v>36</v>
      </c>
      <c r="B9" s="72">
        <f>SUM(C9:G9)</f>
        <v>260</v>
      </c>
      <c r="C9" s="89">
        <v>0</v>
      </c>
      <c r="D9" s="71">
        <v>80</v>
      </c>
      <c r="E9" s="71">
        <v>0</v>
      </c>
      <c r="F9" s="71">
        <v>160</v>
      </c>
      <c r="G9" s="88">
        <v>20</v>
      </c>
      <c r="H9" s="70"/>
      <c r="J9" s="21"/>
      <c r="K9" s="27"/>
      <c r="L9" s="26"/>
      <c r="M9" s="23"/>
    </row>
    <row r="10" spans="1:13" ht="11.25" customHeight="1" thickTop="1" thickBot="1" x14ac:dyDescent="0.2">
      <c r="A10" s="69" t="s">
        <v>35</v>
      </c>
      <c r="B10" s="68">
        <f>SUM(C10:G10)</f>
        <v>280</v>
      </c>
      <c r="C10" s="87">
        <v>80</v>
      </c>
      <c r="D10" s="86">
        <v>0</v>
      </c>
      <c r="E10" s="86">
        <v>200</v>
      </c>
      <c r="F10" s="86">
        <v>0</v>
      </c>
      <c r="G10" s="85">
        <v>0</v>
      </c>
      <c r="H10" s="70"/>
      <c r="J10" s="21"/>
      <c r="K10" s="28"/>
      <c r="L10" s="26" t="s">
        <v>23</v>
      </c>
      <c r="M10" s="23"/>
    </row>
    <row r="11" spans="1:13" ht="11.25" customHeight="1" thickTop="1" thickBot="1" x14ac:dyDescent="0.2">
      <c r="A11" s="83"/>
      <c r="B11" s="71"/>
      <c r="C11" s="84" t="s">
        <v>43</v>
      </c>
      <c r="D11" s="84" t="s">
        <v>43</v>
      </c>
      <c r="E11" s="84" t="s">
        <v>43</v>
      </c>
      <c r="F11" s="84" t="s">
        <v>43</v>
      </c>
      <c r="G11" s="84" t="s">
        <v>43</v>
      </c>
      <c r="H11" s="70"/>
      <c r="J11" s="21"/>
      <c r="K11" s="27"/>
      <c r="L11" s="26"/>
      <c r="M11" s="23"/>
    </row>
    <row r="12" spans="1:13" ht="11.25" customHeight="1" thickTop="1" thickBot="1" x14ac:dyDescent="0.25">
      <c r="A12" s="69" t="s">
        <v>42</v>
      </c>
      <c r="B12" s="71"/>
      <c r="C12" s="80">
        <f>SUM(C8:C10)</f>
        <v>180</v>
      </c>
      <c r="D12" s="79">
        <f>SUM(D8:D10)</f>
        <v>80</v>
      </c>
      <c r="E12" s="79">
        <f>SUM(E8:E10)</f>
        <v>200</v>
      </c>
      <c r="F12" s="79">
        <f>SUM(F8:F10)</f>
        <v>160</v>
      </c>
      <c r="G12" s="78">
        <f>SUM(G8:G10)</f>
        <v>220</v>
      </c>
      <c r="H12" s="70"/>
      <c r="J12" s="21"/>
      <c r="K12" s="29"/>
      <c r="L12" s="26" t="s">
        <v>28</v>
      </c>
      <c r="M12" s="23"/>
    </row>
    <row r="13" spans="1:13" ht="11.25" customHeight="1" thickTop="1" thickBot="1" x14ac:dyDescent="0.2">
      <c r="A13" s="83"/>
      <c r="B13" s="71"/>
      <c r="C13" s="71"/>
      <c r="D13" s="71"/>
      <c r="E13" s="71"/>
      <c r="F13" s="71"/>
      <c r="G13" s="71"/>
      <c r="H13" s="70"/>
      <c r="J13" s="37"/>
      <c r="K13" s="38"/>
      <c r="L13" s="38"/>
      <c r="M13" s="39"/>
    </row>
    <row r="14" spans="1:13" ht="11.25" customHeight="1" thickTop="1" thickBot="1" x14ac:dyDescent="0.2">
      <c r="A14" s="82"/>
      <c r="B14" s="81" t="s">
        <v>41</v>
      </c>
      <c r="C14" s="80">
        <v>180</v>
      </c>
      <c r="D14" s="79">
        <v>80</v>
      </c>
      <c r="E14" s="79">
        <v>200</v>
      </c>
      <c r="F14" s="79">
        <v>160</v>
      </c>
      <c r="G14" s="78">
        <v>220</v>
      </c>
      <c r="H14" s="60"/>
    </row>
    <row r="15" spans="1:13" ht="11.25" customHeight="1" thickTop="1" thickBot="1" x14ac:dyDescent="0.2">
      <c r="A15" s="77" t="s">
        <v>40</v>
      </c>
      <c r="B15" s="76" t="s">
        <v>39</v>
      </c>
      <c r="C15" s="75" t="s">
        <v>38</v>
      </c>
      <c r="D15" s="74"/>
      <c r="E15" s="65"/>
      <c r="F15" s="65"/>
      <c r="G15" s="65"/>
      <c r="H15" s="64"/>
    </row>
    <row r="16" spans="1:13" ht="11.25" customHeight="1" thickTop="1" x14ac:dyDescent="0.15">
      <c r="A16" s="69" t="s">
        <v>37</v>
      </c>
      <c r="B16" s="73">
        <v>310</v>
      </c>
      <c r="C16" s="71">
        <v>5</v>
      </c>
      <c r="D16" s="71">
        <v>10</v>
      </c>
      <c r="E16" s="71">
        <v>9</v>
      </c>
      <c r="F16" s="71">
        <v>9</v>
      </c>
      <c r="G16" s="71">
        <v>6</v>
      </c>
      <c r="H16" s="70"/>
    </row>
    <row r="17" spans="1:8" ht="11.25" customHeight="1" x14ac:dyDescent="0.15">
      <c r="A17" s="69" t="s">
        <v>36</v>
      </c>
      <c r="B17" s="72">
        <v>260</v>
      </c>
      <c r="C17" s="71">
        <v>8</v>
      </c>
      <c r="D17" s="71">
        <v>6</v>
      </c>
      <c r="E17" s="71">
        <v>11</v>
      </c>
      <c r="F17" s="71">
        <v>5</v>
      </c>
      <c r="G17" s="71">
        <v>4</v>
      </c>
      <c r="H17" s="70"/>
    </row>
    <row r="18" spans="1:8" ht="11.25" customHeight="1" thickBot="1" x14ac:dyDescent="0.2">
      <c r="A18" s="69" t="s">
        <v>35</v>
      </c>
      <c r="B18" s="68">
        <v>280</v>
      </c>
      <c r="C18" s="67">
        <v>4</v>
      </c>
      <c r="D18" s="67">
        <v>12</v>
      </c>
      <c r="E18" s="67">
        <v>5</v>
      </c>
      <c r="F18" s="67">
        <v>12</v>
      </c>
      <c r="G18" s="67">
        <v>8</v>
      </c>
      <c r="H18" s="60"/>
    </row>
    <row r="19" spans="1:8" ht="11.25" customHeight="1" thickTop="1" thickBot="1" x14ac:dyDescent="0.2">
      <c r="A19" s="66"/>
      <c r="B19" s="65"/>
      <c r="C19" s="65"/>
      <c r="D19" s="65"/>
      <c r="E19" s="65"/>
      <c r="F19" s="65"/>
      <c r="G19" s="65"/>
      <c r="H19" s="64"/>
    </row>
    <row r="20" spans="1:8" ht="11.25" customHeight="1" thickTop="1" thickBot="1" x14ac:dyDescent="0.2">
      <c r="A20" s="63" t="s">
        <v>34</v>
      </c>
      <c r="B20" s="62">
        <f>SUM(C20:G20)</f>
        <v>4380</v>
      </c>
      <c r="C20" s="61">
        <f>C8*C16+C9*C17+C10*C18</f>
        <v>820</v>
      </c>
      <c r="D20" s="61">
        <f>D8*D16+D9*D17+D10*D18</f>
        <v>480</v>
      </c>
      <c r="E20" s="61">
        <f>E8*E16+E9*E17+E10*E18</f>
        <v>1000</v>
      </c>
      <c r="F20" s="61">
        <f>F8*F16+F9*F17+F10*F18</f>
        <v>800</v>
      </c>
      <c r="G20" s="61">
        <f>G8*G16+G9*G17+G10*G18</f>
        <v>1280</v>
      </c>
      <c r="H20" s="60"/>
    </row>
    <row r="21" spans="1:8" ht="11.25" thickTop="1" x14ac:dyDescent="0.15"/>
  </sheetData>
  <printOptions gridLinesSet="0"/>
  <pageMargins left="0.75" right="0.75" top="1" bottom="1" header="0.51181102362204722" footer="0.51181102362204722"/>
  <pageSetup paperSize="9" orientation="portrait" horizontalDpi="4294967292" verticalDpi="4294967292" r:id="rId1"/>
  <headerFooter alignWithMargins="0">
    <oddHeader>&amp;F</oddHeader>
    <oddFooter>Página 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65193-52B1-42D7-B705-0B588C3C6C16}">
  <sheetPr codeName="Hoja3"/>
  <dimension ref="A1:E12"/>
  <sheetViews>
    <sheetView showGridLines="0" workbookViewId="0"/>
  </sheetViews>
  <sheetFormatPr baseColWidth="10" defaultRowHeight="12.75" x14ac:dyDescent="0.2"/>
  <cols>
    <col min="1" max="1" width="2.28515625" customWidth="1"/>
    <col min="2" max="2" width="9.42578125" bestFit="1" customWidth="1"/>
    <col min="3" max="3" width="8.140625" bestFit="1" customWidth="1"/>
    <col min="4" max="4" width="5.85546875" bestFit="1" customWidth="1"/>
    <col min="5" max="5" width="12.5703125" bestFit="1" customWidth="1"/>
  </cols>
  <sheetData>
    <row r="1" spans="1:5" x14ac:dyDescent="0.2">
      <c r="A1" s="109" t="s">
        <v>65</v>
      </c>
    </row>
    <row r="2" spans="1:5" x14ac:dyDescent="0.2">
      <c r="A2" s="109" t="s">
        <v>66</v>
      </c>
    </row>
    <row r="3" spans="1:5" x14ac:dyDescent="0.2">
      <c r="A3" s="109" t="s">
        <v>67</v>
      </c>
    </row>
    <row r="6" spans="1:5" ht="13.5" thickBot="1" x14ac:dyDescent="0.25">
      <c r="A6" t="s">
        <v>68</v>
      </c>
    </row>
    <row r="7" spans="1:5" x14ac:dyDescent="0.2">
      <c r="B7" s="111"/>
      <c r="C7" s="111"/>
      <c r="D7" s="111" t="s">
        <v>71</v>
      </c>
      <c r="E7" s="111" t="s">
        <v>73</v>
      </c>
    </row>
    <row r="8" spans="1:5" ht="13.5" thickBot="1" x14ac:dyDescent="0.25">
      <c r="B8" s="112" t="s">
        <v>69</v>
      </c>
      <c r="C8" s="112" t="s">
        <v>70</v>
      </c>
      <c r="D8" s="112" t="s">
        <v>72</v>
      </c>
      <c r="E8" s="112" t="s">
        <v>74</v>
      </c>
    </row>
    <row r="9" spans="1:5" ht="13.5" thickBot="1" x14ac:dyDescent="0.25">
      <c r="B9" s="110" t="s">
        <v>77</v>
      </c>
      <c r="C9" s="110" t="s">
        <v>78</v>
      </c>
      <c r="D9" s="110">
        <v>0</v>
      </c>
      <c r="E9" s="110">
        <v>-0.59800669929732275</v>
      </c>
    </row>
    <row r="11" spans="1:5" x14ac:dyDescent="0.2">
      <c r="A11" t="s">
        <v>75</v>
      </c>
    </row>
    <row r="12" spans="1:5" x14ac:dyDescent="0.2">
      <c r="B12" t="s">
        <v>76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CF8EC-EBEC-4C5B-A48D-0E995B2AD70E}">
  <sheetPr codeName="Hoja4"/>
  <dimension ref="A34:M203"/>
  <sheetViews>
    <sheetView tabSelected="1" topLeftCell="A172" zoomScale="73" zoomScaleNormal="73" workbookViewId="0">
      <selection activeCell="G151" sqref="G151"/>
    </sheetView>
  </sheetViews>
  <sheetFormatPr baseColWidth="10" defaultRowHeight="12.75" x14ac:dyDescent="0.2"/>
  <cols>
    <col min="10" max="10" width="12.85546875" bestFit="1" customWidth="1"/>
  </cols>
  <sheetData>
    <row r="34" spans="2:3" x14ac:dyDescent="0.2">
      <c r="B34" t="s">
        <v>58</v>
      </c>
      <c r="C34" t="s">
        <v>59</v>
      </c>
    </row>
    <row r="35" spans="2:3" x14ac:dyDescent="0.2">
      <c r="B35" s="107">
        <v>0.78347847807072502</v>
      </c>
      <c r="C35" s="108">
        <f>EXP(-B35/4)*(2-B35)-1</f>
        <v>1.2596318041446786E-4</v>
      </c>
    </row>
    <row r="52" spans="1:2" x14ac:dyDescent="0.2">
      <c r="B52" t="s">
        <v>60</v>
      </c>
    </row>
    <row r="53" spans="1:2" x14ac:dyDescent="0.2">
      <c r="B53">
        <f>10^9+10^8*(1-EXP(-B55/100))-10^7*B55</f>
        <v>-2.0623207092285156E-5</v>
      </c>
    </row>
    <row r="55" spans="1:2" x14ac:dyDescent="0.2">
      <c r="A55" t="s">
        <v>61</v>
      </c>
      <c r="B55">
        <v>106.55460326516381</v>
      </c>
    </row>
    <row r="68" spans="2:5" x14ac:dyDescent="0.2">
      <c r="B68" s="115" t="s">
        <v>63</v>
      </c>
      <c r="C68" s="115"/>
      <c r="D68" s="115"/>
      <c r="E68" s="115"/>
    </row>
    <row r="69" spans="2:5" x14ac:dyDescent="0.2">
      <c r="B69" s="115"/>
      <c r="C69" s="115"/>
      <c r="D69" s="115"/>
      <c r="E69" s="115"/>
    </row>
    <row r="70" spans="2:5" x14ac:dyDescent="0.2">
      <c r="B70" s="115"/>
      <c r="C70" s="115"/>
      <c r="D70" s="115"/>
      <c r="E70" s="115"/>
    </row>
    <row r="73" spans="2:5" x14ac:dyDescent="0.2">
      <c r="B73" t="s">
        <v>64</v>
      </c>
      <c r="C73">
        <f>EXP(-0.2*C74)*SIN(C74+2)</f>
        <v>-0.59297144139308655</v>
      </c>
    </row>
    <row r="74" spans="2:5" x14ac:dyDescent="0.2">
      <c r="B74" t="s">
        <v>62</v>
      </c>
      <c r="C74">
        <v>2.514993420419839</v>
      </c>
    </row>
    <row r="95" spans="3:4" x14ac:dyDescent="0.2">
      <c r="C95" t="s">
        <v>79</v>
      </c>
      <c r="D95">
        <v>45</v>
      </c>
    </row>
    <row r="96" spans="3:4" x14ac:dyDescent="0.2">
      <c r="C96" t="s">
        <v>80</v>
      </c>
      <c r="D96">
        <f>RADIANS(D95)</f>
        <v>0.78539816339744828</v>
      </c>
    </row>
    <row r="97" spans="3:4" x14ac:dyDescent="0.2">
      <c r="C97" t="s">
        <v>81</v>
      </c>
      <c r="D97">
        <f>(2640)/(2*SIN(D96))+(SQRT((5280)))</f>
        <v>1939.4255108308253</v>
      </c>
    </row>
    <row r="100" spans="3:4" x14ac:dyDescent="0.2">
      <c r="C100" t="s">
        <v>62</v>
      </c>
      <c r="D100">
        <v>1.1141593072038807</v>
      </c>
    </row>
    <row r="101" spans="3:4" x14ac:dyDescent="0.2">
      <c r="C101" t="s">
        <v>82</v>
      </c>
      <c r="D101">
        <f>D100-1/SIN(D100)</f>
        <v>3.3520739612935557E-6</v>
      </c>
    </row>
    <row r="105" spans="3:4" x14ac:dyDescent="0.2">
      <c r="C105" t="s">
        <v>62</v>
      </c>
      <c r="D105" t="s">
        <v>82</v>
      </c>
    </row>
    <row r="106" spans="3:4" x14ac:dyDescent="0.2">
      <c r="C106">
        <v>1</v>
      </c>
      <c r="D106">
        <f>1/SIN(C106)</f>
        <v>1.1883951057781212</v>
      </c>
    </row>
    <row r="107" spans="3:4" x14ac:dyDescent="0.2">
      <c r="C107">
        <f>D106</f>
        <v>1.1883951057781212</v>
      </c>
      <c r="D107">
        <f>1/SIN(C107)</f>
        <v>1.0778518403108819</v>
      </c>
    </row>
    <row r="108" spans="3:4" x14ac:dyDescent="0.2">
      <c r="C108">
        <f t="shared" ref="C108:C126" si="0">D107</f>
        <v>1.0778518403108819</v>
      </c>
      <c r="D108">
        <f t="shared" ref="D108:D126" si="1">1/SIN(C108)</f>
        <v>1.1351468567940126</v>
      </c>
    </row>
    <row r="109" spans="3:4" x14ac:dyDescent="0.2">
      <c r="C109">
        <f t="shared" si="0"/>
        <v>1.1351468567940126</v>
      </c>
      <c r="D109">
        <f t="shared" si="1"/>
        <v>1.1030269559075008</v>
      </c>
    </row>
    <row r="110" spans="3:4" x14ac:dyDescent="0.2">
      <c r="C110">
        <f t="shared" si="0"/>
        <v>1.1030269559075008</v>
      </c>
      <c r="D110">
        <f t="shared" si="1"/>
        <v>1.1203524119236152</v>
      </c>
    </row>
    <row r="111" spans="3:4" x14ac:dyDescent="0.2">
      <c r="C111">
        <f t="shared" si="0"/>
        <v>1.1203524119236152</v>
      </c>
      <c r="D111">
        <f t="shared" si="1"/>
        <v>1.1107977106836571</v>
      </c>
    </row>
    <row r="112" spans="3:4" x14ac:dyDescent="0.2">
      <c r="C112">
        <f t="shared" si="0"/>
        <v>1.1107977106836571</v>
      </c>
      <c r="D112">
        <f t="shared" si="1"/>
        <v>1.1160052754910808</v>
      </c>
    </row>
    <row r="113" spans="3:7" x14ac:dyDescent="0.2">
      <c r="C113">
        <f t="shared" si="0"/>
        <v>1.1160052754910808</v>
      </c>
      <c r="D113">
        <f t="shared" si="1"/>
        <v>1.1131483783947718</v>
      </c>
    </row>
    <row r="114" spans="3:7" x14ac:dyDescent="0.2">
      <c r="C114">
        <f>D113</f>
        <v>1.1131483783947718</v>
      </c>
      <c r="D114">
        <f>1/SIN(C114)</f>
        <v>1.114710130039281</v>
      </c>
      <c r="F114" t="s">
        <v>62</v>
      </c>
      <c r="G114">
        <f ca="1">G115</f>
        <v>1.1141571408719302</v>
      </c>
    </row>
    <row r="115" spans="3:7" x14ac:dyDescent="0.2">
      <c r="C115">
        <f t="shared" si="0"/>
        <v>1.114710130039281</v>
      </c>
      <c r="D115">
        <f t="shared" si="1"/>
        <v>1.1138547136877777</v>
      </c>
      <c r="F115" t="s">
        <v>82</v>
      </c>
      <c r="G115">
        <f ca="1">1/SIN(G114)</f>
        <v>1.11415714087193</v>
      </c>
    </row>
    <row r="116" spans="3:7" x14ac:dyDescent="0.2">
      <c r="C116">
        <f t="shared" si="0"/>
        <v>1.1138547136877777</v>
      </c>
      <c r="D116">
        <f t="shared" si="1"/>
        <v>1.1143227505245576</v>
      </c>
    </row>
    <row r="117" spans="3:7" x14ac:dyDescent="0.2">
      <c r="C117">
        <f>D116</f>
        <v>1.1143227505245576</v>
      </c>
      <c r="D117">
        <f>1/SIN(C117)</f>
        <v>1.1140665167666113</v>
      </c>
    </row>
    <row r="118" spans="3:7" x14ac:dyDescent="0.2">
      <c r="C118">
        <f t="shared" si="0"/>
        <v>1.1140665167666113</v>
      </c>
      <c r="D118">
        <f t="shared" si="1"/>
        <v>1.114206750931189</v>
      </c>
    </row>
    <row r="119" spans="3:7" x14ac:dyDescent="0.2">
      <c r="C119">
        <f t="shared" si="0"/>
        <v>1.114206750931189</v>
      </c>
      <c r="D119">
        <f t="shared" si="1"/>
        <v>1.1141299887450296</v>
      </c>
    </row>
    <row r="120" spans="3:7" x14ac:dyDescent="0.2">
      <c r="C120">
        <f t="shared" si="0"/>
        <v>1.1141299887450296</v>
      </c>
      <c r="D120">
        <f t="shared" si="1"/>
        <v>1.1141720032488527</v>
      </c>
    </row>
    <row r="121" spans="3:7" x14ac:dyDescent="0.2">
      <c r="C121">
        <f t="shared" si="0"/>
        <v>1.1141720032488527</v>
      </c>
      <c r="D121">
        <f t="shared" si="1"/>
        <v>1.1141490061042834</v>
      </c>
    </row>
    <row r="122" spans="3:7" x14ac:dyDescent="0.2">
      <c r="C122">
        <f t="shared" si="0"/>
        <v>1.1141490061042834</v>
      </c>
      <c r="D122">
        <f t="shared" si="1"/>
        <v>1.114161593507033</v>
      </c>
    </row>
    <row r="123" spans="3:7" x14ac:dyDescent="0.2">
      <c r="C123">
        <f t="shared" si="0"/>
        <v>1.114161593507033</v>
      </c>
      <c r="D123">
        <f t="shared" si="1"/>
        <v>1.1141547037300679</v>
      </c>
    </row>
    <row r="124" spans="3:7" x14ac:dyDescent="0.2">
      <c r="C124">
        <f t="shared" si="0"/>
        <v>1.1141547037300679</v>
      </c>
      <c r="D124">
        <f t="shared" si="1"/>
        <v>1.11415847485104</v>
      </c>
    </row>
    <row r="125" spans="3:7" x14ac:dyDescent="0.2">
      <c r="C125">
        <f t="shared" si="0"/>
        <v>1.11415847485104</v>
      </c>
      <c r="D125">
        <f t="shared" si="1"/>
        <v>1.1141564107174131</v>
      </c>
    </row>
    <row r="126" spans="3:7" x14ac:dyDescent="0.2">
      <c r="C126">
        <f t="shared" si="0"/>
        <v>1.1141564107174131</v>
      </c>
      <c r="D126">
        <f t="shared" si="1"/>
        <v>1.1141575405238251</v>
      </c>
    </row>
    <row r="129" spans="3:10" x14ac:dyDescent="0.2">
      <c r="C129" t="s">
        <v>62</v>
      </c>
      <c r="D129" t="s">
        <v>82</v>
      </c>
    </row>
    <row r="130" spans="3:10" x14ac:dyDescent="0.2">
      <c r="C130">
        <v>1</v>
      </c>
      <c r="D130">
        <f t="shared" ref="D130:D135" si="2">2*C130^2/(LN(C130)+5)</f>
        <v>0.4</v>
      </c>
    </row>
    <row r="131" spans="3:10" x14ac:dyDescent="0.2">
      <c r="C131">
        <f>D130</f>
        <v>0.4</v>
      </c>
      <c r="D131">
        <f t="shared" si="2"/>
        <v>7.836013266117231E-2</v>
      </c>
    </row>
    <row r="132" spans="3:10" x14ac:dyDescent="0.2">
      <c r="C132">
        <f>D131</f>
        <v>7.836013266117231E-2</v>
      </c>
      <c r="D132">
        <f t="shared" si="2"/>
        <v>5.0052253647758921E-3</v>
      </c>
    </row>
    <row r="133" spans="3:10" x14ac:dyDescent="0.2">
      <c r="C133">
        <f>D132</f>
        <v>5.0052253647758921E-3</v>
      </c>
      <c r="D133">
        <f t="shared" si="2"/>
        <v>-1.6854739242957507E-4</v>
      </c>
    </row>
    <row r="134" spans="3:10" x14ac:dyDescent="0.2">
      <c r="C134">
        <f>D133</f>
        <v>-1.6854739242957507E-4</v>
      </c>
      <c r="D134" t="e">
        <f t="shared" si="2"/>
        <v>#NUM!</v>
      </c>
      <c r="F134" s="116" t="s">
        <v>83</v>
      </c>
      <c r="G134" s="116"/>
      <c r="H134" s="116"/>
    </row>
    <row r="135" spans="3:10" x14ac:dyDescent="0.2">
      <c r="C135" t="e">
        <f>D134</f>
        <v>#NUM!</v>
      </c>
      <c r="D135" t="e">
        <f t="shared" si="2"/>
        <v>#NUM!</v>
      </c>
    </row>
    <row r="136" spans="3:10" x14ac:dyDescent="0.2">
      <c r="F136" t="s">
        <v>62</v>
      </c>
      <c r="G136" t="s">
        <v>82</v>
      </c>
    </row>
    <row r="137" spans="3:10" x14ac:dyDescent="0.2">
      <c r="F137" t="e">
        <f ca="1">G137</f>
        <v>#NUM!</v>
      </c>
      <c r="G137" t="e">
        <f ca="1">SQRT(0.5*(F137*LN(F137)+5*F137))</f>
        <v>#NUM!</v>
      </c>
    </row>
    <row r="141" spans="3:10" x14ac:dyDescent="0.2">
      <c r="D141" t="s">
        <v>84</v>
      </c>
      <c r="E141" t="s">
        <v>85</v>
      </c>
      <c r="F141" t="s">
        <v>86</v>
      </c>
      <c r="G141" t="s">
        <v>87</v>
      </c>
      <c r="H141" t="s">
        <v>88</v>
      </c>
      <c r="I141" t="s">
        <v>89</v>
      </c>
      <c r="J141" t="s">
        <v>90</v>
      </c>
    </row>
    <row r="142" spans="3:10" x14ac:dyDescent="0.2">
      <c r="D142">
        <v>1</v>
      </c>
      <c r="E142">
        <v>0</v>
      </c>
      <c r="F142">
        <f>E142^3+E142-17</f>
        <v>-17</v>
      </c>
      <c r="G142">
        <f t="shared" ref="G142:G151" si="3">AVERAGE(I142,E142)</f>
        <v>2</v>
      </c>
      <c r="H142">
        <f>G142^3+G142-17</f>
        <v>-7</v>
      </c>
      <c r="I142">
        <v>4</v>
      </c>
      <c r="J142">
        <f>I142^3+I142-17</f>
        <v>51</v>
      </c>
    </row>
    <row r="143" spans="3:10" x14ac:dyDescent="0.2">
      <c r="D143">
        <v>2</v>
      </c>
      <c r="E143">
        <f t="shared" ref="E143:E151" si="4">IF(F142*H142&lt;0,E142,G142 )</f>
        <v>2</v>
      </c>
      <c r="F143">
        <f>E143^3+E143-17</f>
        <v>-7</v>
      </c>
      <c r="G143">
        <f t="shared" si="3"/>
        <v>3</v>
      </c>
      <c r="H143">
        <f>G143^3+G143-17</f>
        <v>13</v>
      </c>
      <c r="I143">
        <f t="shared" ref="I143:I151" si="5">IF(H142*F142&lt;0,G142,I142)</f>
        <v>4</v>
      </c>
      <c r="J143">
        <f>I143^3+I143-17</f>
        <v>51</v>
      </c>
    </row>
    <row r="144" spans="3:10" x14ac:dyDescent="0.2">
      <c r="D144">
        <v>3</v>
      </c>
      <c r="E144">
        <f t="shared" si="4"/>
        <v>2</v>
      </c>
      <c r="F144">
        <f>E144^3+E144-17</f>
        <v>-7</v>
      </c>
      <c r="G144">
        <f t="shared" si="3"/>
        <v>2.5</v>
      </c>
      <c r="H144">
        <f t="shared" ref="H144:H151" si="6">G144^3+G144-17</f>
        <v>1.125</v>
      </c>
      <c r="I144">
        <f t="shared" si="5"/>
        <v>3</v>
      </c>
      <c r="J144">
        <f t="shared" ref="J144:J151" si="7">I144^3+I144-17</f>
        <v>13</v>
      </c>
    </row>
    <row r="145" spans="1:10" x14ac:dyDescent="0.2">
      <c r="D145">
        <v>4</v>
      </c>
      <c r="E145">
        <f>IF(F144*H144&lt;0,E144,G144 )</f>
        <v>2</v>
      </c>
      <c r="F145">
        <f>E145^3+E145-17</f>
        <v>-7</v>
      </c>
      <c r="G145">
        <f>AVERAGE(I145,E145)</f>
        <v>2.25</v>
      </c>
      <c r="H145">
        <f t="shared" si="6"/>
        <v>-3.359375</v>
      </c>
      <c r="I145">
        <f t="shared" si="5"/>
        <v>2.5</v>
      </c>
      <c r="J145">
        <f t="shared" si="7"/>
        <v>1.125</v>
      </c>
    </row>
    <row r="146" spans="1:10" x14ac:dyDescent="0.2">
      <c r="D146">
        <v>5</v>
      </c>
      <c r="E146">
        <f t="shared" si="4"/>
        <v>2.25</v>
      </c>
      <c r="F146">
        <f t="shared" ref="F146:F151" si="8">E146^3+E146-17</f>
        <v>-3.359375</v>
      </c>
      <c r="G146">
        <f t="shared" si="3"/>
        <v>2.375</v>
      </c>
      <c r="H146">
        <f t="shared" si="6"/>
        <v>-1.228515625</v>
      </c>
      <c r="I146">
        <f t="shared" si="5"/>
        <v>2.5</v>
      </c>
      <c r="J146">
        <f t="shared" si="7"/>
        <v>1.125</v>
      </c>
    </row>
    <row r="147" spans="1:10" x14ac:dyDescent="0.2">
      <c r="D147">
        <v>6</v>
      </c>
      <c r="E147">
        <f t="shared" si="4"/>
        <v>2.375</v>
      </c>
      <c r="F147">
        <f t="shared" si="8"/>
        <v>-1.228515625</v>
      </c>
      <c r="G147">
        <f t="shared" si="3"/>
        <v>2.4375</v>
      </c>
      <c r="H147">
        <f t="shared" si="6"/>
        <v>-8.0322265625E-2</v>
      </c>
      <c r="I147">
        <f t="shared" si="5"/>
        <v>2.5</v>
      </c>
      <c r="J147">
        <f t="shared" si="7"/>
        <v>1.125</v>
      </c>
    </row>
    <row r="148" spans="1:10" x14ac:dyDescent="0.2">
      <c r="D148">
        <v>7</v>
      </c>
      <c r="E148">
        <f t="shared" si="4"/>
        <v>2.4375</v>
      </c>
      <c r="F148">
        <f t="shared" si="8"/>
        <v>-8.0322265625E-2</v>
      </c>
      <c r="G148">
        <f t="shared" si="3"/>
        <v>2.46875</v>
      </c>
      <c r="H148">
        <f t="shared" si="6"/>
        <v>0.515106201171875</v>
      </c>
      <c r="I148">
        <f t="shared" si="5"/>
        <v>2.5</v>
      </c>
      <c r="J148">
        <f t="shared" si="7"/>
        <v>1.125</v>
      </c>
    </row>
    <row r="149" spans="1:10" x14ac:dyDescent="0.2">
      <c r="D149">
        <v>8</v>
      </c>
      <c r="E149">
        <f t="shared" si="4"/>
        <v>2.4375</v>
      </c>
      <c r="F149">
        <f>E149^3+E149-17</f>
        <v>-8.0322265625E-2</v>
      </c>
      <c r="G149">
        <f t="shared" si="3"/>
        <v>2.453125</v>
      </c>
      <c r="H149">
        <f>G149^3+G149-17</f>
        <v>0.21559524536132813</v>
      </c>
      <c r="I149">
        <f t="shared" si="5"/>
        <v>2.46875</v>
      </c>
      <c r="J149">
        <f>I149^3+I149-17</f>
        <v>0.515106201171875</v>
      </c>
    </row>
    <row r="150" spans="1:10" x14ac:dyDescent="0.2">
      <c r="A150" t="s">
        <v>98</v>
      </c>
      <c r="B150">
        <f>(SQRT(5)-1)/2</f>
        <v>0.6180339887498949</v>
      </c>
      <c r="D150">
        <v>9</v>
      </c>
      <c r="E150">
        <f t="shared" si="4"/>
        <v>2.4375</v>
      </c>
      <c r="F150">
        <f t="shared" si="8"/>
        <v>-8.0322265625E-2</v>
      </c>
      <c r="G150">
        <f t="shared" si="3"/>
        <v>2.4453125</v>
      </c>
      <c r="H150">
        <f t="shared" si="6"/>
        <v>6.7188739776611328E-2</v>
      </c>
      <c r="I150">
        <f t="shared" si="5"/>
        <v>2.453125</v>
      </c>
      <c r="J150">
        <f t="shared" si="7"/>
        <v>0.21559524536132813</v>
      </c>
    </row>
    <row r="151" spans="1:10" x14ac:dyDescent="0.2">
      <c r="D151">
        <v>10</v>
      </c>
      <c r="E151">
        <f t="shared" si="4"/>
        <v>2.4375</v>
      </c>
      <c r="F151">
        <f t="shared" si="8"/>
        <v>-8.0322265625E-2</v>
      </c>
      <c r="G151">
        <f t="shared" si="3"/>
        <v>2.44140625</v>
      </c>
      <c r="H151">
        <f t="shared" si="6"/>
        <v>-6.6785216331481934E-3</v>
      </c>
      <c r="I151">
        <f t="shared" si="5"/>
        <v>2.4453125</v>
      </c>
      <c r="J151">
        <f t="shared" si="7"/>
        <v>6.7188739776611328E-2</v>
      </c>
    </row>
    <row r="155" spans="1:10" x14ac:dyDescent="0.2">
      <c r="B155" t="s">
        <v>84</v>
      </c>
      <c r="C155" t="s">
        <v>91</v>
      </c>
      <c r="D155" t="s">
        <v>92</v>
      </c>
      <c r="E155" t="s">
        <v>93</v>
      </c>
      <c r="F155" t="s">
        <v>94</v>
      </c>
      <c r="G155" t="s">
        <v>95</v>
      </c>
      <c r="H155" t="s">
        <v>96</v>
      </c>
      <c r="I155" t="s">
        <v>97</v>
      </c>
    </row>
    <row r="156" spans="1:10" x14ac:dyDescent="0.2">
      <c r="B156">
        <v>1</v>
      </c>
      <c r="C156">
        <v>0</v>
      </c>
      <c r="D156">
        <v>4</v>
      </c>
      <c r="E156">
        <f>GR*(D156-C156)</f>
        <v>2.4721359549995796</v>
      </c>
      <c r="F156">
        <f>E156+C156</f>
        <v>2.4721359549995796</v>
      </c>
      <c r="G156">
        <f>D156-E156</f>
        <v>1.5278640450004204</v>
      </c>
      <c r="H156">
        <f>F156^2-6*F156+15</f>
        <v>6.2786404500042057</v>
      </c>
      <c r="I156">
        <f>G156^2-6*G156+15</f>
        <v>8.1671842700025241</v>
      </c>
    </row>
    <row r="157" spans="1:10" x14ac:dyDescent="0.2">
      <c r="B157">
        <v>2</v>
      </c>
      <c r="C157">
        <f>IF(I156&gt;H156,G156,C156)</f>
        <v>1.5278640450004204</v>
      </c>
      <c r="D157">
        <f>IF(H156&gt;I156,F156,D156)</f>
        <v>4</v>
      </c>
      <c r="E157">
        <f t="shared" ref="E156:E165" si="9">GR*(D157-C157)</f>
        <v>1.5278640450004208</v>
      </c>
      <c r="F157">
        <f>E157+C157</f>
        <v>3.0557280900008412</v>
      </c>
      <c r="G157">
        <f>D157-E157</f>
        <v>2.4721359549995792</v>
      </c>
      <c r="H157">
        <f>F157^2-6*F157+15</f>
        <v>6.0031056200151411</v>
      </c>
      <c r="I157">
        <f>G157^2-6*G157+15</f>
        <v>6.2786404500042075</v>
      </c>
    </row>
    <row r="158" spans="1:10" x14ac:dyDescent="0.2">
      <c r="B158">
        <v>3</v>
      </c>
      <c r="C158">
        <f t="shared" ref="C158:C165" si="10">IF(I157&gt;H157,G157,C157)</f>
        <v>2.4721359549995792</v>
      </c>
      <c r="D158">
        <f t="shared" ref="D158:D165" si="11">IF(H157&gt;I157,F157,D157)</f>
        <v>4</v>
      </c>
      <c r="E158">
        <f t="shared" si="9"/>
        <v>0.944271909999159</v>
      </c>
      <c r="F158">
        <f t="shared" ref="F158:F165" si="12">E158+C158</f>
        <v>3.4164078649987379</v>
      </c>
      <c r="G158">
        <f t="shared" ref="G158:G165" si="13">D158-E158</f>
        <v>3.0557280900008408</v>
      </c>
      <c r="H158">
        <f t="shared" ref="H158:H165" si="14">F158^2-6*F158+15</f>
        <v>6.1733955100328082</v>
      </c>
      <c r="I158">
        <f t="shared" ref="I158:I165" si="15">G158^2-6*G158+15</f>
        <v>6.0031056200151411</v>
      </c>
    </row>
    <row r="159" spans="1:10" x14ac:dyDescent="0.2">
      <c r="B159">
        <v>4</v>
      </c>
      <c r="C159">
        <f t="shared" si="10"/>
        <v>2.4721359549995792</v>
      </c>
      <c r="D159">
        <f t="shared" si="11"/>
        <v>3.4164078649987379</v>
      </c>
      <c r="E159">
        <f t="shared" si="9"/>
        <v>0.58359213500126184</v>
      </c>
      <c r="F159">
        <f t="shared" si="12"/>
        <v>3.0557280900008408</v>
      </c>
      <c r="G159">
        <f t="shared" si="13"/>
        <v>2.8328157299974759</v>
      </c>
      <c r="H159">
        <f t="shared" si="14"/>
        <v>6.0031056200151411</v>
      </c>
      <c r="I159">
        <f t="shared" si="15"/>
        <v>6.0279505801362774</v>
      </c>
    </row>
    <row r="160" spans="1:10" x14ac:dyDescent="0.2">
      <c r="B160">
        <v>5</v>
      </c>
      <c r="C160">
        <f t="shared" si="10"/>
        <v>2.8328157299974759</v>
      </c>
      <c r="D160">
        <f t="shared" si="11"/>
        <v>3.4164078649987379</v>
      </c>
      <c r="E160">
        <f t="shared" si="9"/>
        <v>0.36067977499789716</v>
      </c>
      <c r="F160">
        <f t="shared" si="12"/>
        <v>3.193495504995373</v>
      </c>
      <c r="G160">
        <f t="shared" si="13"/>
        <v>3.0557280900008408</v>
      </c>
      <c r="H160">
        <f t="shared" si="14"/>
        <v>6.037440510453413</v>
      </c>
      <c r="I160">
        <f t="shared" si="15"/>
        <v>6.0031056200151411</v>
      </c>
    </row>
    <row r="161" spans="2:9" x14ac:dyDescent="0.2">
      <c r="B161">
        <v>6</v>
      </c>
      <c r="C161">
        <f t="shared" si="10"/>
        <v>2.8328157299974759</v>
      </c>
      <c r="D161">
        <f t="shared" si="11"/>
        <v>3.193495504995373</v>
      </c>
      <c r="E161">
        <f t="shared" si="9"/>
        <v>0.22291236000336501</v>
      </c>
      <c r="F161">
        <f t="shared" si="12"/>
        <v>3.0557280900008408</v>
      </c>
      <c r="G161">
        <f t="shared" si="13"/>
        <v>2.9705831449920082</v>
      </c>
      <c r="H161">
        <f t="shared" si="14"/>
        <v>6.0031056200151411</v>
      </c>
      <c r="I161">
        <f t="shared" si="15"/>
        <v>6.0008653513585628</v>
      </c>
    </row>
    <row r="162" spans="2:9" x14ac:dyDescent="0.2">
      <c r="B162">
        <v>7</v>
      </c>
      <c r="C162">
        <f t="shared" si="10"/>
        <v>2.8328157299974759</v>
      </c>
      <c r="D162">
        <f t="shared" si="11"/>
        <v>3.0557280900008408</v>
      </c>
      <c r="E162">
        <f t="shared" si="9"/>
        <v>0.13776741499453216</v>
      </c>
      <c r="F162">
        <f t="shared" si="12"/>
        <v>2.9705831449920082</v>
      </c>
      <c r="G162">
        <f t="shared" si="13"/>
        <v>2.9179606750063085</v>
      </c>
      <c r="H162">
        <f t="shared" si="14"/>
        <v>6.0008653513585628</v>
      </c>
      <c r="I162">
        <f t="shared" si="15"/>
        <v>6.0067304508454225</v>
      </c>
    </row>
    <row r="163" spans="2:9" x14ac:dyDescent="0.2">
      <c r="B163">
        <v>8</v>
      </c>
      <c r="C163">
        <f t="shared" si="10"/>
        <v>2.9179606750063085</v>
      </c>
      <c r="D163">
        <f t="shared" si="11"/>
        <v>3.0557280900008408</v>
      </c>
      <c r="E163">
        <f t="shared" si="9"/>
        <v>8.5144945008832851E-2</v>
      </c>
      <c r="F163">
        <f t="shared" si="12"/>
        <v>3.0031056200151411</v>
      </c>
      <c r="G163">
        <f t="shared" si="13"/>
        <v>2.9705831449920082</v>
      </c>
      <c r="H163">
        <f t="shared" si="14"/>
        <v>6.0000096448756786</v>
      </c>
      <c r="I163">
        <f t="shared" si="15"/>
        <v>6.0008653513585628</v>
      </c>
    </row>
    <row r="164" spans="2:9" x14ac:dyDescent="0.2">
      <c r="B164">
        <v>9</v>
      </c>
      <c r="C164">
        <f t="shared" si="10"/>
        <v>2.9705831449920082</v>
      </c>
      <c r="D164">
        <f t="shared" si="11"/>
        <v>3.0557280900008408</v>
      </c>
      <c r="E164">
        <f t="shared" si="9"/>
        <v>5.2622469985699284E-2</v>
      </c>
      <c r="F164">
        <f t="shared" si="12"/>
        <v>3.0232056149777073</v>
      </c>
      <c r="G164">
        <f t="shared" si="13"/>
        <v>3.0031056200151416</v>
      </c>
      <c r="H164">
        <f t="shared" si="14"/>
        <v>6.000538500566492</v>
      </c>
      <c r="I164">
        <f t="shared" si="15"/>
        <v>6.0000096448756768</v>
      </c>
    </row>
    <row r="165" spans="2:9" x14ac:dyDescent="0.2">
      <c r="B165">
        <v>10</v>
      </c>
      <c r="C165">
        <f t="shared" si="10"/>
        <v>2.9705831449920082</v>
      </c>
      <c r="D165">
        <f t="shared" si="11"/>
        <v>3.0232056149777073</v>
      </c>
      <c r="E165">
        <f t="shared" si="9"/>
        <v>3.2522475023133296E-2</v>
      </c>
      <c r="F165">
        <f t="shared" si="12"/>
        <v>3.0031056200151416</v>
      </c>
      <c r="G165">
        <f t="shared" si="13"/>
        <v>2.9906831399545739</v>
      </c>
      <c r="H165">
        <f t="shared" si="14"/>
        <v>6.0000096448756768</v>
      </c>
      <c r="I165">
        <f t="shared" si="15"/>
        <v>6.0000868038811035</v>
      </c>
    </row>
    <row r="167" spans="2:9" x14ac:dyDescent="0.2">
      <c r="D167" t="s">
        <v>99</v>
      </c>
    </row>
    <row r="169" spans="2:9" x14ac:dyDescent="0.2">
      <c r="D169" t="s">
        <v>58</v>
      </c>
      <c r="E169" t="s">
        <v>82</v>
      </c>
    </row>
    <row r="170" spans="2:9" x14ac:dyDescent="0.2">
      <c r="D170">
        <v>2.9999999951173639</v>
      </c>
      <c r="E170">
        <f>D170^2-6*D170+15</f>
        <v>6</v>
      </c>
    </row>
    <row r="174" spans="2:9" x14ac:dyDescent="0.2">
      <c r="B174" s="117" t="s">
        <v>100</v>
      </c>
      <c r="C174" s="117"/>
      <c r="D174" s="117"/>
      <c r="E174" s="117"/>
    </row>
    <row r="175" spans="2:9" x14ac:dyDescent="0.2">
      <c r="B175" s="117"/>
      <c r="C175" s="117"/>
      <c r="D175" s="117"/>
      <c r="E175" s="117"/>
    </row>
    <row r="176" spans="2:9" x14ac:dyDescent="0.2">
      <c r="B176" s="117"/>
      <c r="C176" s="117"/>
      <c r="D176" s="117"/>
      <c r="E176" s="117"/>
    </row>
    <row r="177" spans="1:5" x14ac:dyDescent="0.2">
      <c r="B177" s="117"/>
      <c r="C177" s="117"/>
      <c r="D177" s="117"/>
      <c r="E177" s="117"/>
    </row>
    <row r="178" spans="1:5" x14ac:dyDescent="0.2">
      <c r="B178" s="117"/>
      <c r="C178" s="117"/>
      <c r="D178" s="117"/>
      <c r="E178" s="117"/>
    </row>
    <row r="182" spans="1:5" x14ac:dyDescent="0.2">
      <c r="A182">
        <v>7.117473333737153</v>
      </c>
    </row>
    <row r="185" spans="1:5" x14ac:dyDescent="0.2">
      <c r="A185" t="s">
        <v>62</v>
      </c>
      <c r="B185">
        <f ca="1">B186</f>
        <v>7.1174733706008766</v>
      </c>
    </row>
    <row r="186" spans="1:5" x14ac:dyDescent="0.2">
      <c r="A186" t="s">
        <v>101</v>
      </c>
      <c r="B186">
        <f ca="1">-2*LN(B189/3.7+2.51*B185/B190)/LN(10)</f>
        <v>7.1174733343143757</v>
      </c>
    </row>
    <row r="187" spans="1:5" x14ac:dyDescent="0.2">
      <c r="A187" t="s">
        <v>102</v>
      </c>
      <c r="B187">
        <f ca="1">1/B185^2</f>
        <v>1.9740052260660477E-2</v>
      </c>
    </row>
    <row r="189" spans="1:5" x14ac:dyDescent="0.2">
      <c r="A189" t="s">
        <v>103</v>
      </c>
      <c r="B189" s="114">
        <v>1E-3</v>
      </c>
    </row>
    <row r="190" spans="1:5" x14ac:dyDescent="0.2">
      <c r="A190" t="s">
        <v>104</v>
      </c>
      <c r="B190">
        <v>3000000</v>
      </c>
    </row>
    <row r="192" spans="1:5" x14ac:dyDescent="0.2">
      <c r="B192" cm="1">
        <f t="array" ref="B192">colebrook(B189,B190)</f>
        <v>7.117473334409592</v>
      </c>
    </row>
    <row r="193" spans="1:13" x14ac:dyDescent="0.2">
      <c r="C193">
        <f ca="1">B187</f>
        <v>1.9740052260660477E-2</v>
      </c>
      <c r="D193" s="113">
        <v>10000</v>
      </c>
      <c r="E193" s="113">
        <v>20000</v>
      </c>
      <c r="F193" s="113">
        <v>50000</v>
      </c>
      <c r="G193" s="113">
        <v>100000</v>
      </c>
      <c r="H193" s="113">
        <v>200000</v>
      </c>
      <c r="I193" s="113">
        <v>500000</v>
      </c>
      <c r="J193" s="113">
        <v>1000000</v>
      </c>
      <c r="K193" s="113">
        <v>2000000</v>
      </c>
      <c r="L193" s="113">
        <v>5000000</v>
      </c>
      <c r="M193" s="113">
        <v>10000000</v>
      </c>
    </row>
    <row r="194" spans="1:13" x14ac:dyDescent="0.2">
      <c r="C194" s="113">
        <v>1.0000000000000001E-5</v>
      </c>
      <c r="D194">
        <f t="dataTable" ref="D194:M203" dt2D="1" dtr="1" r1="B190" r2="B189" ca="1"/>
        <v>3.0890843279727433E-2</v>
      </c>
      <c r="E194">
        <v>2.5906764374961207E-2</v>
      </c>
      <c r="F194">
        <v>2.0928719029241965E-2</v>
      </c>
      <c r="G194">
        <v>1.8039750915661529E-2</v>
      </c>
      <c r="H194">
        <v>1.5716595289616733E-2</v>
      </c>
      <c r="I194">
        <v>1.3300889481420285E-2</v>
      </c>
      <c r="J194">
        <v>1.1868726853509324E-2</v>
      </c>
      <c r="K194">
        <v>1.0720124636943058E-2</v>
      </c>
      <c r="L194">
        <v>9.5879091088951988E-3</v>
      </c>
      <c r="M194">
        <v>8.9956732271582705E-3</v>
      </c>
    </row>
    <row r="195" spans="1:13" x14ac:dyDescent="0.2">
      <c r="C195" s="113">
        <v>2.0000000000000002E-5</v>
      </c>
      <c r="D195">
        <v>3.091713393124489E-2</v>
      </c>
      <c r="E195">
        <v>2.5928685351770273E-2</v>
      </c>
      <c r="F195">
        <v>2.0964763171562616E-2</v>
      </c>
      <c r="G195">
        <v>1.8093578675195902E-2</v>
      </c>
      <c r="H195">
        <v>1.579762525567913E-2</v>
      </c>
      <c r="I195">
        <v>1.3441321088031982E-2</v>
      </c>
      <c r="J195">
        <v>1.207999408182024E-2</v>
      </c>
      <c r="K195">
        <v>1.1030851756506175E-2</v>
      </c>
      <c r="L195">
        <v>1.0069761009690897E-2</v>
      </c>
      <c r="M195">
        <v>9.6164904551495727E-3</v>
      </c>
    </row>
    <row r="196" spans="1:13" x14ac:dyDescent="0.2">
      <c r="B196" cm="1">
        <f t="array" ref="B196">colebrook(B189,B190)</f>
        <v>7.117473334409592</v>
      </c>
      <c r="C196" s="113">
        <v>5.0000000000000002E-5</v>
      </c>
      <c r="D196">
        <v>3.096321308517206E-2</v>
      </c>
      <c r="E196">
        <v>2.5994270017733825E-2</v>
      </c>
      <c r="F196">
        <v>2.1072150237090845E-2</v>
      </c>
      <c r="G196">
        <v>1.8252812834856458E-2</v>
      </c>
      <c r="H196">
        <v>1.6034256105282928E-2</v>
      </c>
      <c r="I196">
        <v>1.3837523967143751E-2</v>
      </c>
      <c r="J196">
        <v>1.2648623493398433E-2</v>
      </c>
      <c r="K196">
        <v>1.1809622924849874E-2</v>
      </c>
      <c r="L196">
        <v>1.1135749397536972E-2</v>
      </c>
      <c r="M196">
        <v>1.0859795814564465E-2</v>
      </c>
    </row>
    <row r="197" spans="1:13" x14ac:dyDescent="0.2">
      <c r="C197" s="113">
        <v>1E-4</v>
      </c>
      <c r="D197">
        <v>3.1039800889226778E-2</v>
      </c>
      <c r="E197">
        <v>2.6102984704257783E-2</v>
      </c>
      <c r="F197">
        <v>2.1248706793605597E-2</v>
      </c>
      <c r="G197">
        <v>1.8511093442178651E-2</v>
      </c>
      <c r="H197">
        <v>1.6409093068310784E-2</v>
      </c>
      <c r="I197">
        <v>1.442971679911509E-2</v>
      </c>
      <c r="J197">
        <v>1.3441352842450571E-2</v>
      </c>
      <c r="K197">
        <v>1.2803701992098151E-2</v>
      </c>
      <c r="L197">
        <v>1.2339981131654252E-2</v>
      </c>
      <c r="M197">
        <v>1.2166090481146358E-2</v>
      </c>
    </row>
    <row r="198" spans="1:13" x14ac:dyDescent="0.2">
      <c r="C198" s="113">
        <v>2.0000000000000001E-4</v>
      </c>
      <c r="D198">
        <v>3.1192602061454355E-2</v>
      </c>
      <c r="E198">
        <v>2.6318236362007544E-2</v>
      </c>
      <c r="F198">
        <v>2.158690642772337E-2</v>
      </c>
      <c r="G198">
        <v>1.9003543670221765E-2</v>
      </c>
      <c r="H198">
        <v>1.7097337472663419E-2</v>
      </c>
      <c r="I198">
        <v>1.5433338077995263E-2</v>
      </c>
      <c r="J198">
        <v>1.4683850800543267E-2</v>
      </c>
      <c r="K198">
        <v>1.4240436896586899E-2</v>
      </c>
      <c r="L198">
        <v>1.3943727632425422E-2</v>
      </c>
      <c r="M198">
        <v>1.383849740710834E-2</v>
      </c>
    </row>
    <row r="199" spans="1:13" x14ac:dyDescent="0.2">
      <c r="A199">
        <f>1/B196^2</f>
        <v>1.974005246141089E-2</v>
      </c>
      <c r="C199" s="113">
        <v>5.0000000000000001E-4</v>
      </c>
      <c r="D199">
        <v>3.163346567752489E-2</v>
      </c>
      <c r="E199">
        <v>2.6938895133597242E-2</v>
      </c>
      <c r="F199">
        <v>2.2561806917419547E-2</v>
      </c>
      <c r="G199">
        <v>2.0326278972692527E-2</v>
      </c>
      <c r="H199">
        <v>1.8819630498700696E-2</v>
      </c>
      <c r="I199">
        <v>1.7663499118953926E-2</v>
      </c>
      <c r="J199">
        <v>1.7206819224146911E-2</v>
      </c>
      <c r="K199">
        <v>1.6960265702662999E-2</v>
      </c>
      <c r="L199">
        <v>1.6805421028898763E-2</v>
      </c>
      <c r="M199">
        <v>1.6752544105852821E-2</v>
      </c>
    </row>
    <row r="200" spans="1:13" x14ac:dyDescent="0.2">
      <c r="C200" s="113">
        <v>1E-3</v>
      </c>
      <c r="D200">
        <v>3.2375271777051677E-2</v>
      </c>
      <c r="E200">
        <v>2.7940764068875808E-2</v>
      </c>
      <c r="F200">
        <v>2.4019373851530135E-2</v>
      </c>
      <c r="G200">
        <v>2.2174321214853746E-2</v>
      </c>
      <c r="H200">
        <v>2.1034637546865822E-2</v>
      </c>
      <c r="I200">
        <v>2.0235621819830601E-2</v>
      </c>
      <c r="J200">
        <v>1.9943482390355427E-2</v>
      </c>
      <c r="K200">
        <v>1.9791610722946443E-2</v>
      </c>
      <c r="L200">
        <v>1.9698457511554836E-2</v>
      </c>
      <c r="M200">
        <v>1.96984572758498E-2</v>
      </c>
    </row>
    <row r="201" spans="1:13" x14ac:dyDescent="0.2">
      <c r="C201" s="113">
        <v>2E-3</v>
      </c>
      <c r="D201">
        <v>3.3790450121157792E-2</v>
      </c>
      <c r="E201">
        <v>2.9785992190830984E-2</v>
      </c>
      <c r="F201">
        <v>2.650518043548844E-2</v>
      </c>
      <c r="G201">
        <v>2.5107956535894031E-2</v>
      </c>
      <c r="H201">
        <v>2.4309582711432669E-2</v>
      </c>
      <c r="I201">
        <v>2.3788870650067469E-2</v>
      </c>
      <c r="J201">
        <v>2.3606993169563193E-2</v>
      </c>
      <c r="K201">
        <v>2.351434369454573E-2</v>
      </c>
      <c r="L201">
        <v>2.3514343329265813E-2</v>
      </c>
      <c r="M201">
        <v>2.3458136553539472E-2</v>
      </c>
    </row>
    <row r="202" spans="1:13" x14ac:dyDescent="0.2">
      <c r="C202" s="113">
        <v>5.0000000000000001E-3</v>
      </c>
      <c r="D202">
        <v>3.7640488511786641E-2</v>
      </c>
      <c r="E202">
        <v>3.4469581292718064E-2</v>
      </c>
      <c r="F202">
        <v>3.2176206973844781E-2</v>
      </c>
      <c r="G202">
        <v>3.1306564372415448E-2</v>
      </c>
      <c r="H202">
        <v>3.0846793626987532E-2</v>
      </c>
      <c r="I202">
        <v>3.0561709366209246E-2</v>
      </c>
      <c r="J202">
        <v>3.0561706531306826E-2</v>
      </c>
      <c r="K202">
        <v>3.0464871852249355E-2</v>
      </c>
      <c r="L202">
        <v>3.0416323718894384E-2</v>
      </c>
      <c r="M202">
        <v>3.0387050383788451E-2</v>
      </c>
    </row>
    <row r="203" spans="1:13" x14ac:dyDescent="0.2">
      <c r="C203" s="113">
        <v>0.01</v>
      </c>
      <c r="D203">
        <v>4.312936817559386E-2</v>
      </c>
      <c r="E203">
        <v>4.0707946655584651E-2</v>
      </c>
      <c r="F203">
        <v>3.9081989822755243E-2</v>
      </c>
      <c r="G203">
        <v>3.8503577445374235E-2</v>
      </c>
      <c r="H203">
        <v>3.8206497020187372E-2</v>
      </c>
      <c r="I203">
        <v>3.8025532701255818E-2</v>
      </c>
      <c r="J203">
        <v>3.802553224000204E-2</v>
      </c>
      <c r="K203">
        <v>3.7964693130197597E-2</v>
      </c>
      <c r="L203">
        <v>3.7934244768570116E-2</v>
      </c>
      <c r="M203">
        <v>3.7915934240571353E-2</v>
      </c>
    </row>
  </sheetData>
  <mergeCells count="3">
    <mergeCell ref="B68:E70"/>
    <mergeCell ref="F134:H134"/>
    <mergeCell ref="B174:E17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Ejercicio 1</vt:lpstr>
      <vt:lpstr>Ejercicio 2</vt:lpstr>
      <vt:lpstr>Informe de sensibilidad 1</vt:lpstr>
      <vt:lpstr>Hoja1</vt:lpstr>
      <vt:lpstr>GR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</dc:creator>
  <cp:lastModifiedBy>Pedro Arango</cp:lastModifiedBy>
  <dcterms:created xsi:type="dcterms:W3CDTF">2014-02-12T22:04:33Z</dcterms:created>
  <dcterms:modified xsi:type="dcterms:W3CDTF">2021-01-07T12:27:44Z</dcterms:modified>
</cp:coreProperties>
</file>